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Anant\Astrology\Vastu\"/>
    </mc:Choice>
  </mc:AlternateContent>
  <xr:revisionPtr revIDLastSave="0" documentId="13_ncr:1_{3B1C910E-1797-4AAD-B1B2-DD7FF8EA33C9}" xr6:coauthVersionLast="47" xr6:coauthVersionMax="47" xr10:uidLastSave="{00000000-0000-0000-0000-000000000000}"/>
  <bookViews>
    <workbookView xWindow="43080" yWindow="-120" windowWidth="29040" windowHeight="15720" xr2:uid="{D0D83F2C-112E-4750-8850-C51D985949E9}"/>
  </bookViews>
  <sheets>
    <sheet name="దిశ" sheetId="1" r:id="rId1"/>
    <sheet name="తెలుగులో టైపు చేయు విధానము" sheetId="2" r:id="rId2"/>
  </sheets>
  <definedNames>
    <definedName name="_xlnm.Print_Area" localSheetId="0">దిశ!$A$1:$AK$35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8" i="1" l="1"/>
  <c r="AC8" i="1" s="1"/>
  <c r="AC11" i="1" s="1"/>
  <c r="AC14" i="1" s="1"/>
  <c r="Z14" i="1" s="1"/>
  <c r="W14" i="1" s="1"/>
  <c r="W11" i="1" s="1"/>
  <c r="W8" i="1" s="1"/>
  <c r="E14" i="1"/>
  <c r="E11" i="1" s="1"/>
  <c r="N27" i="1" l="1"/>
  <c r="E8" i="1"/>
  <c r="N30" i="1"/>
  <c r="N24" i="1" l="1"/>
  <c r="H8" i="1"/>
  <c r="AO25" i="1"/>
  <c r="Q24" i="1" l="1"/>
  <c r="K8" i="1"/>
  <c r="T24" i="1" l="1"/>
  <c r="K11" i="1"/>
  <c r="T27" i="1" l="1"/>
  <c r="K14" i="1"/>
  <c r="T30" i="1" l="1"/>
  <c r="H14" i="1"/>
  <c r="Q30" i="1" s="1"/>
</calcChain>
</file>

<file path=xl/sharedStrings.xml><?xml version="1.0" encoding="utf-8"?>
<sst xmlns="http://schemas.openxmlformats.org/spreadsheetml/2006/main" count="151" uniqueCount="119">
  <si>
    <t xml:space="preserve">పేరులో మొదటి అక్షరముల ఆధారముగా దంపతులిరువురకు  సింహ ద్వారమునకు , ప్రహారీ గోడ గుమ్మమునకు సరిపోవు స్దానములు </t>
  </si>
  <si>
    <t xml:space="preserve">యజమాని పేరు </t>
  </si>
  <si>
    <t xml:space="preserve">భార్య పేరు </t>
  </si>
  <si>
    <t xml:space="preserve">యజమానికి అనుకూల దిశలు </t>
  </si>
  <si>
    <t>యజమాని భార్యకు అనుకూల దిశలు</t>
  </si>
  <si>
    <t>తూర్పు</t>
  </si>
  <si>
    <t>ఈశాన్యము</t>
  </si>
  <si>
    <t>ఆగ్నేయము</t>
  </si>
  <si>
    <t>ఉత్తరము</t>
  </si>
  <si>
    <t>దక్షిణము</t>
  </si>
  <si>
    <t>పడమర</t>
  </si>
  <si>
    <t>వాయువ్యము</t>
  </si>
  <si>
    <t>నైరుతి</t>
  </si>
  <si>
    <t xml:space="preserve">ఫలితము </t>
  </si>
  <si>
    <t xml:space="preserve">దంపతులు ఇరువురికీ  అనువైన దిశలు </t>
  </si>
  <si>
    <t xml:space="preserve">1.  స్వవర్గు </t>
  </si>
  <si>
    <t xml:space="preserve">తూర్పు  </t>
  </si>
  <si>
    <t>అ నుండి  అః</t>
  </si>
  <si>
    <t>అ</t>
  </si>
  <si>
    <t>ఆ</t>
  </si>
  <si>
    <t>ఇ</t>
  </si>
  <si>
    <t>ఈ</t>
  </si>
  <si>
    <t>ఉ</t>
  </si>
  <si>
    <t>ఊ</t>
  </si>
  <si>
    <t>ఋ</t>
  </si>
  <si>
    <t>ౠ</t>
  </si>
  <si>
    <t>ఌ</t>
  </si>
  <si>
    <t>ౡ</t>
  </si>
  <si>
    <t>ఎ</t>
  </si>
  <si>
    <t>ఏ</t>
  </si>
  <si>
    <t>ఐ</t>
  </si>
  <si>
    <t>ఒ</t>
  </si>
  <si>
    <t>ఓ</t>
  </si>
  <si>
    <t>ఔ</t>
  </si>
  <si>
    <t>2.  సామాన్యము</t>
  </si>
  <si>
    <t>క</t>
  </si>
  <si>
    <t>ఖ</t>
  </si>
  <si>
    <t>గ</t>
  </si>
  <si>
    <t>ఘ</t>
  </si>
  <si>
    <t>ఙ</t>
  </si>
  <si>
    <t>3.  సామాన్యము</t>
  </si>
  <si>
    <t>చ</t>
  </si>
  <si>
    <t>ఛ</t>
  </si>
  <si>
    <t>జ</t>
  </si>
  <si>
    <t>ఝ</t>
  </si>
  <si>
    <t>ఞ</t>
  </si>
  <si>
    <t xml:space="preserve">4.  రోగ స్ధానము </t>
  </si>
  <si>
    <t>ట</t>
  </si>
  <si>
    <t>ఠ</t>
  </si>
  <si>
    <t>డ</t>
  </si>
  <si>
    <t>ఢ</t>
  </si>
  <si>
    <t>ణ</t>
  </si>
  <si>
    <t xml:space="preserve">5.  ఋణ,  శతృస్ధానము </t>
  </si>
  <si>
    <t>త</t>
  </si>
  <si>
    <t>థ</t>
  </si>
  <si>
    <t>ద</t>
  </si>
  <si>
    <t>ధ</t>
  </si>
  <si>
    <t>న</t>
  </si>
  <si>
    <t>6.  సామాన్యము</t>
  </si>
  <si>
    <t>ప</t>
  </si>
  <si>
    <t>ఫ</t>
  </si>
  <si>
    <t>బ</t>
  </si>
  <si>
    <t>భ</t>
  </si>
  <si>
    <t>మ</t>
  </si>
  <si>
    <t xml:space="preserve">7.   ఉత్తమ స్ధానము </t>
  </si>
  <si>
    <t>య</t>
  </si>
  <si>
    <t>ర</t>
  </si>
  <si>
    <t>ల</t>
  </si>
  <si>
    <t>వ</t>
  </si>
  <si>
    <t xml:space="preserve">8.  మృత్యు స్ధానము </t>
  </si>
  <si>
    <t>శ</t>
  </si>
  <si>
    <t>ష</t>
  </si>
  <si>
    <t>స</t>
  </si>
  <si>
    <t>హ</t>
  </si>
  <si>
    <t>ళ</t>
  </si>
  <si>
    <t>క్ష</t>
  </si>
  <si>
    <t>ఱ</t>
  </si>
  <si>
    <t xml:space="preserve">నైరుతి - అందరికీ మృత్యు స్ధానము </t>
  </si>
  <si>
    <t>How to set up and use Indic Phonetic keyboards</t>
  </si>
  <si>
    <t>Applies To</t>
  </si>
  <si>
    <t>Phonetic keyboards in Indian languages are available in 10 Indian languages including Hindi, Bangla, Tamil, Marathi, Punjabi, Gujarati, Odia, Telugu, Kannada and Malayalam. The Indic Phonetic keyboards are in addition to the Indic Traditional INSCRIPT keyboards already available with Windows.</t>
  </si>
  <si>
    <t>The phonetic keyboards are available starting from Windows 10 May 2019 Update, and Indian language users won’t need to download and install any external Input Method Editors (IMEs) to input Indic text in a phonetic style.</t>
  </si>
  <si>
    <t>The transliteration rules used in the keyboards are based on ISO 15919. Different with Indic INSCRIPT Keyboards, Indic Phonetic Keyboards are based on natural pronunciation and users can use it immediately without any learning cost. As words are typed using the existing keyboard, Indic Phonetic keyboards transliterate them to suggest possible Indic text options. For instance, if we type “namaste” using the Phonetic keyboard, it will automatically suggest नमस्ते /ਨਮਸਤੇ/ નમસ્તે in Hindi/Punjabi/Gujarati.</t>
  </si>
  <si>
    <t>Add Indic Phonetic keyboards:</t>
  </si>
  <si>
    <t>Go to Time &amp; Language in Settings and select the language from the navigation menu.</t>
  </si>
  <si>
    <t>Click on the + icon labelled and add the preferred Indic language (by selecting into the search box and select it – for example “Hindi” and click on the next button and install the Indic language on the device, which will then return to the Language page).</t>
  </si>
  <si>
    <t>Go to language page, select the language and then click the options button to go to language options page.</t>
  </si>
  <si>
    <t>Add the keyboard by clicking the + icon and then select the type of keyboard.</t>
  </si>
  <si>
    <t>Lastly, enable the phonetic keyboard by clicking on the input indicator on the taskbar (or press the Windows key + Space) and select the Indic Phonetic keyboard.</t>
  </si>
  <si>
    <t>It will take a few minutes to download Indic phonetic keyboard dictionary:</t>
  </si>
  <si>
    <t>Dictionaries of Indic phonetic keyboards are available in Basic typing of FoD (features on demand). Once add an Indic phonetic keyboard, keyboard dictionary detection and downloading require the Windows Update to work from background.</t>
  </si>
  <si>
    <t>After adding a new phonetic keyboard, keyboard dictionary will start downloading, and it could take a few minutes with internet connection. Before downloading finished, a pop-up toast remind will show. If IME is still not ready, please check your Internet connection. Please find more details on the language packages, features on demand and language features on demand below.</t>
  </si>
  <si>
    <t>Language packages</t>
  </si>
  <si>
    <t>Features on demand</t>
  </si>
  <si>
    <t>Language features on demand</t>
  </si>
  <si>
    <t>The next section is for those who cannot see successful downloads in the previous section. Manually download IME dictionaries:</t>
  </si>
  <si>
    <t>1. Click the Cortana search box on the Start menu.</t>
  </si>
  <si>
    <t>2. Type Command Prompt.</t>
  </si>
  <si>
    <t>3. Right-Click Command Prompt in the results.</t>
  </si>
  <si>
    <t>4. Click "Run as Administrator" on the popup menu.</t>
  </si>
  <si>
    <t>5. Run the following command to install Indic basic typing FoD package.</t>
  </si>
  <si>
    <r>
      <t>Bangla:</t>
    </r>
    <r>
      <rPr>
        <sz val="11"/>
        <color rgb="FF1E1E1E"/>
        <rFont val="Segoe UI"/>
        <family val="2"/>
      </rPr>
      <t> DISM /Online /Add-Capability /CapabilityName:Language.Basic~~~bn-IN~0.0.1.0</t>
    </r>
  </si>
  <si>
    <r>
      <t>Gujarati:</t>
    </r>
    <r>
      <rPr>
        <sz val="11"/>
        <color rgb="FF1E1E1E"/>
        <rFont val="Segoe UI"/>
        <family val="2"/>
      </rPr>
      <t> DISM /Online /Add-Capability /CapabilityName:Language.Basic~~~gu-IN~0.0.1.0</t>
    </r>
  </si>
  <si>
    <r>
      <t>Hindi:</t>
    </r>
    <r>
      <rPr>
        <sz val="11"/>
        <color rgb="FF1E1E1E"/>
        <rFont val="Segoe UI"/>
        <family val="2"/>
      </rPr>
      <t> DISM /Online /Add-Capability /CapabilityName:Language.Basic~~~hi-IN~0.0.1.0</t>
    </r>
  </si>
  <si>
    <r>
      <t>Kannada:</t>
    </r>
    <r>
      <rPr>
        <sz val="11"/>
        <color rgb="FF1E1E1E"/>
        <rFont val="Segoe UI"/>
        <family val="2"/>
      </rPr>
      <t> DISM /Online /Add-Capability /CapabilityName:Language.Basic~~~kn-IN~0.0.1.0</t>
    </r>
  </si>
  <si>
    <r>
      <t>Malayalam:</t>
    </r>
    <r>
      <rPr>
        <sz val="11"/>
        <color rgb="FF1E1E1E"/>
        <rFont val="Segoe UI"/>
        <family val="2"/>
      </rPr>
      <t> DISM /Online /Add-Capability /CapabilityName:Language.Basic~~~ml-IN~0.0.1.0</t>
    </r>
  </si>
  <si>
    <r>
      <t>Marathi:</t>
    </r>
    <r>
      <rPr>
        <sz val="11"/>
        <color rgb="FF1E1E1E"/>
        <rFont val="Segoe UI"/>
        <family val="2"/>
      </rPr>
      <t> DISM /Online /Add-Capability /CapabilityName:Language.Basic~~~mr-IN~0.0.1.0</t>
    </r>
  </si>
  <si>
    <r>
      <t>Odia:</t>
    </r>
    <r>
      <rPr>
        <sz val="11"/>
        <color rgb="FF1E1E1E"/>
        <rFont val="Segoe UI"/>
        <family val="2"/>
      </rPr>
      <t> DISM /Online /Add-Capability /CapabilityName:Language.Basic~~~or-IN~0.0.1.0</t>
    </r>
  </si>
  <si>
    <r>
      <t>Punjabi:</t>
    </r>
    <r>
      <rPr>
        <sz val="11"/>
        <color rgb="FF1E1E1E"/>
        <rFont val="Segoe UI"/>
        <family val="2"/>
      </rPr>
      <t> DISM /Online /Add-Capability /CapabilityName:Language.Basic~~~pa-IN~0.0.1.0</t>
    </r>
  </si>
  <si>
    <r>
      <t>Tamil:</t>
    </r>
    <r>
      <rPr>
        <sz val="11"/>
        <color rgb="FF1E1E1E"/>
        <rFont val="Segoe UI"/>
        <family val="2"/>
      </rPr>
      <t> DISM /Online /Add-Capability /CapabilityName:Language.Basic~~~ta-IN~0.0.1.0</t>
    </r>
  </si>
  <si>
    <r>
      <t>Telugu:</t>
    </r>
    <r>
      <rPr>
        <sz val="11"/>
        <color rgb="FF1E1E1E"/>
        <rFont val="Segoe UI"/>
        <family val="2"/>
      </rPr>
      <t> DISM /Online /Add-Capability /CapabilityName:Language.Basic~~~te-IN~0.0.1.0</t>
    </r>
  </si>
  <si>
    <t>https://www.youtube.com/watch?v=BDMG-e3svT4</t>
  </si>
  <si>
    <t>ప్రాధాన్యము 1</t>
  </si>
  <si>
    <t>ప్రాధాన్యము 2</t>
  </si>
  <si>
    <t>ప్రాధాన్యము 3</t>
  </si>
  <si>
    <t>ప్రాధాన్యము 4</t>
  </si>
  <si>
    <t xml:space="preserve">అక్షరం ఆధారముగా దిక్కు నిర్ణయము </t>
  </si>
  <si>
    <t>అనిత</t>
  </si>
  <si>
    <t>మహాదేవ వర్మ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</si>
</sst>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sz val="11"/>
      <name val="Calibri"/>
      <family val="2"/>
      <scheme val="minor"/>
    </font>
    <font>
      <b/>
      <sz val="11"/>
      <color rgb="FF660033"/>
      <name val="Calibri"/>
      <family val="2"/>
      <scheme val="minor"/>
    </font>
    <font>
      <b/>
      <sz val="11"/>
      <color rgb="FF7030A0"/>
      <name val="Calibri"/>
      <family val="2"/>
      <scheme val="minor"/>
    </font>
    <font>
      <sz val="11"/>
      <color rgb="FF800000"/>
      <name val="Calibri"/>
      <family val="2"/>
      <scheme val="minor"/>
    </font>
    <font>
      <b/>
      <sz val="11"/>
      <color rgb="FFFF0066"/>
      <name val="Calibri"/>
      <family val="2"/>
      <scheme val="minor"/>
    </font>
    <font>
      <b/>
      <sz val="11"/>
      <color rgb="FF000099"/>
      <name val="Calibri"/>
      <family val="2"/>
      <scheme val="minor"/>
    </font>
    <font>
      <b/>
      <sz val="11"/>
      <color rgb="FF002060"/>
      <name val="Calibri"/>
      <family val="2"/>
      <scheme val="minor"/>
    </font>
    <font>
      <b/>
      <sz val="11"/>
      <color rgb="FF00B050"/>
      <name val="Calibri"/>
      <family val="2"/>
      <scheme val="minor"/>
    </font>
    <font>
      <b/>
      <sz val="11"/>
      <color rgb="FF0070C0"/>
      <name val="Calibri"/>
      <family val="2"/>
      <scheme val="minor"/>
    </font>
    <font>
      <sz val="50.6"/>
      <color rgb="FF1E1E1E"/>
      <name val="Segoe UI Light"/>
      <family val="2"/>
    </font>
    <font>
      <sz val="17.600000000000001"/>
      <color rgb="FF1E1E1E"/>
      <name val="Segoe UI"/>
      <family val="2"/>
    </font>
    <font>
      <sz val="33"/>
      <color rgb="FF1E1E1E"/>
      <name val="Segoe UI Light"/>
      <family val="2"/>
    </font>
    <font>
      <sz val="11"/>
      <color rgb="FF1E1E1E"/>
      <name val="Segoe UI"/>
      <family val="2"/>
    </font>
    <font>
      <b/>
      <sz val="11"/>
      <color rgb="FF1E1E1E"/>
      <name val="Segoe UI"/>
      <family val="2"/>
    </font>
    <font>
      <u/>
      <sz val="11"/>
      <color theme="10"/>
      <name val="Calibri"/>
      <family val="2"/>
      <scheme val="minor"/>
    </font>
  </fonts>
  <fills count="8">
    <fill>
      <patternFill patternType="none"/>
    </fill>
    <fill>
      <patternFill patternType="gray125"/>
    </fill>
    <fill>
      <patternFill patternType="solid">
        <fgColor theme="9"/>
        <bgColor indexed="64"/>
      </patternFill>
    </fill>
    <fill>
      <patternFill patternType="solid">
        <fgColor rgb="FFC00000"/>
        <bgColor indexed="64"/>
      </patternFill>
    </fill>
    <fill>
      <patternFill patternType="solid">
        <fgColor theme="9" tint="-0.249977111117893"/>
        <bgColor indexed="64"/>
      </patternFill>
    </fill>
    <fill>
      <patternFill patternType="solid">
        <fgColor theme="2"/>
        <bgColor indexed="64"/>
      </patternFill>
    </fill>
    <fill>
      <patternFill patternType="solid">
        <fgColor theme="5"/>
        <bgColor indexed="64"/>
      </patternFill>
    </fill>
    <fill>
      <patternFill patternType="solid">
        <fgColor rgb="FFFF0000"/>
        <bgColor indexed="64"/>
      </patternFill>
    </fill>
  </fills>
  <borders count="5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theme="0"/>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theme="0"/>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theme="0"/>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medium">
        <color indexed="64"/>
      </left>
      <right style="thin">
        <color indexed="64"/>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indexed="64"/>
      </left>
      <right style="medium">
        <color indexed="64"/>
      </right>
      <top style="thin">
        <color theme="0"/>
      </top>
      <bottom style="thin">
        <color indexed="64"/>
      </bottom>
      <diagonal/>
    </border>
    <border>
      <left style="thin">
        <color indexed="64"/>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indexed="64"/>
      </right>
      <top style="thin">
        <color theme="0"/>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medium">
        <color indexed="64"/>
      </bottom>
      <diagonal/>
    </border>
    <border>
      <left style="thin">
        <color theme="0"/>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theme="0"/>
      </left>
      <right style="thin">
        <color theme="0"/>
      </right>
      <top style="thin">
        <color theme="0"/>
      </top>
      <bottom style="thin">
        <color theme="0"/>
      </bottom>
      <diagonal/>
    </border>
    <border>
      <left/>
      <right style="thin">
        <color indexed="64"/>
      </right>
      <top style="thin">
        <color indexed="64"/>
      </top>
      <bottom/>
      <diagonal/>
    </border>
    <border>
      <left/>
      <right style="medium">
        <color indexed="64"/>
      </right>
      <top/>
      <bottom style="thin">
        <color theme="0"/>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theme="0"/>
      </right>
      <top/>
      <bottom style="medium">
        <color indexed="64"/>
      </bottom>
      <diagonal/>
    </border>
    <border>
      <left/>
      <right style="medium">
        <color indexed="64"/>
      </right>
      <top/>
      <bottom style="medium">
        <color indexed="64"/>
      </bottom>
      <diagonal/>
    </border>
    <border>
      <left style="medium">
        <color indexed="64"/>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medium">
        <color indexed="64"/>
      </left>
      <right style="thin">
        <color theme="0"/>
      </right>
      <top style="thin">
        <color theme="0"/>
      </top>
      <bottom style="medium">
        <color indexed="64"/>
      </bottom>
      <diagonal/>
    </border>
    <border>
      <left style="thin">
        <color theme="0"/>
      </left>
      <right style="thin">
        <color theme="0"/>
      </right>
      <top style="thin">
        <color theme="0"/>
      </top>
      <bottom style="medium">
        <color indexed="64"/>
      </bottom>
      <diagonal/>
    </border>
    <border>
      <left style="thin">
        <color theme="0"/>
      </left>
      <right style="medium">
        <color indexed="64"/>
      </right>
      <top style="thin">
        <color theme="0"/>
      </top>
      <bottom style="medium">
        <color indexed="64"/>
      </bottom>
      <diagonal/>
    </border>
    <border>
      <left style="medium">
        <color indexed="64"/>
      </left>
      <right style="thin">
        <color theme="0"/>
      </right>
      <top style="medium">
        <color indexed="64"/>
      </top>
      <bottom style="thin">
        <color theme="0"/>
      </bottom>
      <diagonal/>
    </border>
    <border>
      <left style="thin">
        <color theme="0"/>
      </left>
      <right style="thin">
        <color theme="0"/>
      </right>
      <top style="medium">
        <color indexed="64"/>
      </top>
      <bottom style="thin">
        <color theme="0"/>
      </bottom>
      <diagonal/>
    </border>
    <border>
      <left style="thin">
        <color theme="0"/>
      </left>
      <right style="medium">
        <color indexed="64"/>
      </right>
      <top style="medium">
        <color indexed="64"/>
      </top>
      <bottom style="thin">
        <color theme="0"/>
      </bottom>
      <diagonal/>
    </border>
  </borders>
  <cellStyleXfs count="2">
    <xf numFmtId="0" fontId="0" fillId="0" borderId="0"/>
    <xf numFmtId="0" fontId="18" fillId="0" borderId="0" applyNumberFormat="0" applyFill="0" applyBorder="0" applyAlignment="0" applyProtection="0"/>
  </cellStyleXfs>
  <cellXfs count="139">
    <xf numFmtId="0" fontId="0" fillId="0" borderId="0" xfId="0"/>
    <xf numFmtId="0" fontId="2" fillId="0" borderId="4" xfId="0" applyFont="1" applyBorder="1" applyAlignment="1">
      <alignment horizontal="center"/>
    </xf>
    <xf numFmtId="0" fontId="2" fillId="0" borderId="0" xfId="0" applyFont="1" applyAlignment="1">
      <alignment horizontal="center"/>
    </xf>
    <xf numFmtId="0" fontId="0" fillId="0" borderId="5" xfId="0" applyBorder="1"/>
    <xf numFmtId="0" fontId="0" fillId="0" borderId="4" xfId="0" applyBorder="1"/>
    <xf numFmtId="0" fontId="0" fillId="0" borderId="0" xfId="0" applyAlignment="1">
      <alignment horizontal="center" vertical="center"/>
    </xf>
    <xf numFmtId="0" fontId="5" fillId="5" borderId="23" xfId="0" applyFont="1" applyFill="1" applyBorder="1"/>
    <xf numFmtId="0" fontId="5" fillId="5" borderId="9" xfId="0" applyFont="1" applyFill="1" applyBorder="1"/>
    <xf numFmtId="0" fontId="5" fillId="5" borderId="42" xfId="0" applyFont="1" applyFill="1" applyBorder="1"/>
    <xf numFmtId="0" fontId="6" fillId="5" borderId="6" xfId="0" applyFont="1" applyFill="1" applyBorder="1"/>
    <xf numFmtId="0" fontId="6" fillId="5" borderId="7" xfId="0" applyFont="1" applyFill="1" applyBorder="1"/>
    <xf numFmtId="0" fontId="6" fillId="5" borderId="8" xfId="0" applyFont="1" applyFill="1" applyBorder="1"/>
    <xf numFmtId="0" fontId="7" fillId="5" borderId="6" xfId="0" applyFont="1" applyFill="1" applyBorder="1"/>
    <xf numFmtId="0" fontId="7" fillId="5" borderId="7" xfId="0" applyFont="1" applyFill="1" applyBorder="1"/>
    <xf numFmtId="0" fontId="7" fillId="5" borderId="8" xfId="0" applyFont="1" applyFill="1" applyBorder="1"/>
    <xf numFmtId="0" fontId="8" fillId="5" borderId="6" xfId="0" applyFont="1" applyFill="1" applyBorder="1"/>
    <xf numFmtId="0" fontId="8" fillId="5" borderId="7" xfId="0" applyFont="1" applyFill="1" applyBorder="1"/>
    <xf numFmtId="0" fontId="8" fillId="5" borderId="8" xfId="0" applyFont="1" applyFill="1" applyBorder="1"/>
    <xf numFmtId="0" fontId="9" fillId="5" borderId="6" xfId="0" applyFont="1" applyFill="1" applyBorder="1"/>
    <xf numFmtId="0" fontId="9" fillId="5" borderId="7" xfId="0" applyFont="1" applyFill="1" applyBorder="1"/>
    <xf numFmtId="0" fontId="9" fillId="5" borderId="8" xfId="0" applyFont="1" applyFill="1" applyBorder="1"/>
    <xf numFmtId="0" fontId="10" fillId="5" borderId="6" xfId="0" applyFont="1" applyFill="1" applyBorder="1"/>
    <xf numFmtId="0" fontId="10" fillId="5" borderId="7" xfId="0" applyFont="1" applyFill="1" applyBorder="1"/>
    <xf numFmtId="0" fontId="10" fillId="5" borderId="8" xfId="0" applyFont="1" applyFill="1" applyBorder="1"/>
    <xf numFmtId="0" fontId="11" fillId="5" borderId="6" xfId="0" applyFont="1" applyFill="1" applyBorder="1"/>
    <xf numFmtId="0" fontId="11" fillId="5" borderId="7" xfId="0" applyFont="1" applyFill="1" applyBorder="1"/>
    <xf numFmtId="0" fontId="11" fillId="5" borderId="8" xfId="0" applyFont="1" applyFill="1" applyBorder="1"/>
    <xf numFmtId="0" fontId="12" fillId="5" borderId="44" xfId="0" applyFont="1" applyFill="1" applyBorder="1"/>
    <xf numFmtId="0" fontId="12" fillId="5" borderId="40" xfId="0" applyFont="1" applyFill="1" applyBorder="1"/>
    <xf numFmtId="0" fontId="12" fillId="5" borderId="45" xfId="0" applyFont="1" applyFill="1" applyBorder="1"/>
    <xf numFmtId="0" fontId="0" fillId="0" borderId="46" xfId="0" applyBorder="1"/>
    <xf numFmtId="0" fontId="0" fillId="0" borderId="47" xfId="0" applyBorder="1"/>
    <xf numFmtId="0" fontId="0" fillId="0" borderId="49" xfId="0" applyBorder="1"/>
    <xf numFmtId="0" fontId="0" fillId="0" borderId="0" xfId="0" applyAlignment="1">
      <alignment vertical="center"/>
    </xf>
    <xf numFmtId="0" fontId="0" fillId="0" borderId="47" xfId="0" applyBorder="1" applyAlignment="1">
      <alignment vertical="center"/>
    </xf>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left" vertical="center" indent="1"/>
    </xf>
    <xf numFmtId="0" fontId="18" fillId="0" borderId="0" xfId="1" applyAlignment="1">
      <alignment horizontal="left" vertical="center" indent="1"/>
    </xf>
    <xf numFmtId="0" fontId="0" fillId="0" borderId="0" xfId="0" applyAlignment="1">
      <alignment horizontal="left" vertical="center" indent="2"/>
    </xf>
    <xf numFmtId="0" fontId="17" fillId="0" borderId="0" xfId="0" applyFont="1" applyAlignment="1">
      <alignment horizontal="left" vertical="center" indent="2"/>
    </xf>
    <xf numFmtId="0" fontId="18" fillId="0" borderId="0" xfId="1"/>
    <xf numFmtId="0" fontId="10" fillId="0" borderId="17" xfId="0" applyFont="1" applyBorder="1" applyAlignment="1" applyProtection="1">
      <alignment horizontal="center"/>
      <protection locked="0"/>
    </xf>
    <xf numFmtId="0" fontId="0" fillId="0" borderId="0" xfId="0" applyAlignment="1">
      <alignment horizontal="center" vertical="center"/>
    </xf>
    <xf numFmtId="0" fontId="0" fillId="0" borderId="47" xfId="0" applyBorder="1" applyAlignment="1">
      <alignment horizontal="center" vertical="center"/>
    </xf>
    <xf numFmtId="0" fontId="0" fillId="0" borderId="2" xfId="0" applyBorder="1" applyAlignment="1">
      <alignment horizontal="center" vertical="center"/>
    </xf>
    <xf numFmtId="0" fontId="2" fillId="5" borderId="6" xfId="0" applyFont="1" applyFill="1" applyBorder="1" applyAlignment="1">
      <alignment horizontal="left"/>
    </xf>
    <xf numFmtId="0" fontId="2" fillId="5" borderId="7" xfId="0" applyFont="1" applyFill="1" applyBorder="1" applyAlignment="1">
      <alignment horizontal="left"/>
    </xf>
    <xf numFmtId="0" fontId="1" fillId="7" borderId="50" xfId="0" applyFont="1" applyFill="1" applyBorder="1" applyAlignment="1">
      <alignment horizontal="left" vertical="center"/>
    </xf>
    <xf numFmtId="0" fontId="1" fillId="7" borderId="41" xfId="0" applyFont="1" applyFill="1" applyBorder="1" applyAlignment="1">
      <alignment horizontal="left" vertical="center"/>
    </xf>
    <xf numFmtId="0" fontId="1" fillId="7" borderId="51" xfId="0" applyFont="1" applyFill="1" applyBorder="1" applyAlignment="1">
      <alignment horizontal="left" vertical="center"/>
    </xf>
    <xf numFmtId="0" fontId="1" fillId="3" borderId="52" xfId="0" applyFont="1" applyFill="1" applyBorder="1" applyAlignment="1">
      <alignment horizontal="left" vertical="center"/>
    </xf>
    <xf numFmtId="0" fontId="1" fillId="3" borderId="53" xfId="0" applyFont="1" applyFill="1" applyBorder="1" applyAlignment="1">
      <alignment horizontal="left" vertical="center"/>
    </xf>
    <xf numFmtId="0" fontId="1" fillId="3" borderId="54" xfId="0" applyFont="1" applyFill="1" applyBorder="1" applyAlignment="1">
      <alignment horizontal="left" vertical="center"/>
    </xf>
    <xf numFmtId="0" fontId="0" fillId="2" borderId="4" xfId="0" applyFill="1" applyBorder="1" applyAlignment="1">
      <alignment horizontal="center" vertical="center"/>
    </xf>
    <xf numFmtId="0" fontId="0" fillId="2" borderId="0" xfId="0" applyFill="1" applyAlignment="1">
      <alignment horizontal="center" vertical="center"/>
    </xf>
    <xf numFmtId="0" fontId="0" fillId="2" borderId="20" xfId="0" applyFill="1" applyBorder="1" applyAlignment="1">
      <alignment horizontal="center" vertical="center"/>
    </xf>
    <xf numFmtId="0" fontId="0" fillId="2" borderId="46" xfId="0" applyFill="1" applyBorder="1" applyAlignment="1">
      <alignment horizontal="center" vertical="center"/>
    </xf>
    <xf numFmtId="0" fontId="0" fillId="2" borderId="47" xfId="0" applyFill="1" applyBorder="1" applyAlignment="1">
      <alignment horizontal="center" vertical="center"/>
    </xf>
    <xf numFmtId="0" fontId="0" fillId="2" borderId="48" xfId="0" applyFill="1" applyBorder="1" applyAlignment="1">
      <alignment horizontal="center" vertical="center"/>
    </xf>
    <xf numFmtId="0" fontId="4" fillId="3" borderId="34" xfId="0" applyFont="1" applyFill="1" applyBorder="1" applyAlignment="1">
      <alignment horizontal="center" vertical="center"/>
    </xf>
    <xf numFmtId="0" fontId="4" fillId="3" borderId="30" xfId="0" applyFont="1" applyFill="1" applyBorder="1" applyAlignment="1">
      <alignment horizontal="center" vertical="center"/>
    </xf>
    <xf numFmtId="0" fontId="4" fillId="3" borderId="31" xfId="0" applyFont="1" applyFill="1" applyBorder="1" applyAlignment="1">
      <alignment horizontal="center" vertical="center"/>
    </xf>
    <xf numFmtId="0" fontId="4" fillId="3" borderId="18" xfId="0" applyFont="1" applyFill="1" applyBorder="1" applyAlignment="1">
      <alignment horizontal="center" vertical="center"/>
    </xf>
    <xf numFmtId="0" fontId="4" fillId="3" borderId="17" xfId="0" applyFont="1" applyFill="1" applyBorder="1" applyAlignment="1">
      <alignment horizontal="center" vertical="center"/>
    </xf>
    <xf numFmtId="0" fontId="4" fillId="3" borderId="19" xfId="0" applyFont="1" applyFill="1" applyBorder="1" applyAlignment="1">
      <alignment horizontal="center" vertical="center"/>
    </xf>
    <xf numFmtId="0" fontId="4" fillId="3" borderId="38" xfId="0" applyFont="1" applyFill="1" applyBorder="1" applyAlignment="1">
      <alignment horizontal="center" vertical="center"/>
    </xf>
    <xf numFmtId="0" fontId="4" fillId="3" borderId="36" xfId="0" applyFont="1" applyFill="1" applyBorder="1" applyAlignment="1">
      <alignment horizontal="center" vertical="center"/>
    </xf>
    <xf numFmtId="0" fontId="4" fillId="3" borderId="39" xfId="0" applyFont="1" applyFill="1" applyBorder="1" applyAlignment="1">
      <alignment horizontal="center" vertical="center"/>
    </xf>
    <xf numFmtId="0" fontId="1" fillId="4" borderId="50" xfId="0" applyFont="1" applyFill="1" applyBorder="1" applyAlignment="1">
      <alignment horizontal="left" vertical="center"/>
    </xf>
    <xf numFmtId="0" fontId="1" fillId="4" borderId="41" xfId="0" applyFont="1" applyFill="1" applyBorder="1" applyAlignment="1">
      <alignment horizontal="left" vertical="center"/>
    </xf>
    <xf numFmtId="0" fontId="1" fillId="4" borderId="51" xfId="0" applyFont="1" applyFill="1" applyBorder="1" applyAlignment="1">
      <alignment horizontal="left" vertical="center"/>
    </xf>
    <xf numFmtId="0" fontId="0" fillId="2" borderId="26" xfId="0" applyFill="1" applyBorder="1" applyAlignment="1">
      <alignment horizontal="center" vertical="center"/>
    </xf>
    <xf numFmtId="0" fontId="0" fillId="2" borderId="27" xfId="0" applyFill="1" applyBorder="1" applyAlignment="1">
      <alignment horizontal="center" vertical="center"/>
    </xf>
    <xf numFmtId="0" fontId="0" fillId="2" borderId="28" xfId="0" applyFill="1" applyBorder="1" applyAlignment="1">
      <alignment horizontal="center" vertical="center"/>
    </xf>
    <xf numFmtId="0" fontId="0" fillId="0" borderId="17" xfId="0" applyBorder="1" applyAlignment="1">
      <alignment horizontal="center" vertical="center"/>
    </xf>
    <xf numFmtId="0" fontId="0" fillId="2" borderId="5" xfId="0" applyFill="1" applyBorder="1" applyAlignment="1">
      <alignment horizontal="center" vertical="center"/>
    </xf>
    <xf numFmtId="0" fontId="0" fillId="2" borderId="43" xfId="0" applyFill="1" applyBorder="1" applyAlignment="1">
      <alignment horizontal="center" vertical="center"/>
    </xf>
    <xf numFmtId="0" fontId="1" fillId="6" borderId="50" xfId="0" applyFont="1" applyFill="1" applyBorder="1" applyAlignment="1">
      <alignment horizontal="left" vertical="center"/>
    </xf>
    <xf numFmtId="0" fontId="1" fillId="6" borderId="41" xfId="0" applyFont="1" applyFill="1" applyBorder="1" applyAlignment="1">
      <alignment horizontal="left" vertical="center"/>
    </xf>
    <xf numFmtId="0" fontId="1" fillId="6" borderId="51" xfId="0" applyFont="1" applyFill="1" applyBorder="1" applyAlignment="1">
      <alignment horizontal="left" vertical="center"/>
    </xf>
    <xf numFmtId="0" fontId="1" fillId="2" borderId="50" xfId="0" applyFont="1" applyFill="1" applyBorder="1" applyAlignment="1">
      <alignment horizontal="left" vertical="center"/>
    </xf>
    <xf numFmtId="0" fontId="1" fillId="2" borderId="41" xfId="0" applyFont="1" applyFill="1" applyBorder="1" applyAlignment="1">
      <alignment horizontal="left" vertical="center"/>
    </xf>
    <xf numFmtId="0" fontId="1" fillId="2" borderId="51" xfId="0" applyFont="1" applyFill="1" applyBorder="1" applyAlignment="1">
      <alignment horizontal="left"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15" xfId="0" applyFill="1" applyBorder="1" applyAlignment="1">
      <alignment horizontal="center" vertical="center"/>
    </xf>
    <xf numFmtId="0" fontId="0" fillId="2" borderId="3" xfId="0" applyFill="1" applyBorder="1" applyAlignment="1">
      <alignment horizontal="center" vertical="center"/>
    </xf>
    <xf numFmtId="0" fontId="1" fillId="4" borderId="55" xfId="0" applyFont="1" applyFill="1" applyBorder="1" applyAlignment="1">
      <alignment horizontal="left" vertical="center"/>
    </xf>
    <xf numFmtId="0" fontId="1" fillId="4" borderId="56" xfId="0" applyFont="1" applyFill="1" applyBorder="1" applyAlignment="1">
      <alignment horizontal="left" vertical="center"/>
    </xf>
    <xf numFmtId="0" fontId="1" fillId="4" borderId="57" xfId="0" applyFont="1" applyFill="1" applyBorder="1" applyAlignment="1">
      <alignment horizontal="left" vertical="center"/>
    </xf>
    <xf numFmtId="0" fontId="0" fillId="0" borderId="0" xfId="0" applyAlignment="1">
      <alignment horizontal="center"/>
    </xf>
    <xf numFmtId="0" fontId="2" fillId="0" borderId="0" xfId="0" applyFont="1" applyAlignment="1">
      <alignment horizontal="center"/>
    </xf>
    <xf numFmtId="0" fontId="0" fillId="0" borderId="40" xfId="0" applyBorder="1" applyAlignment="1">
      <alignment horizontal="center"/>
    </xf>
    <xf numFmtId="0" fontId="4" fillId="2" borderId="29" xfId="0" applyFont="1" applyFill="1" applyBorder="1" applyAlignment="1">
      <alignment horizontal="center" vertical="center"/>
    </xf>
    <xf numFmtId="0" fontId="4" fillId="2" borderId="30" xfId="0" applyFont="1" applyFill="1" applyBorder="1" applyAlignment="1">
      <alignment horizontal="center" vertical="center"/>
    </xf>
    <xf numFmtId="0" fontId="4" fillId="2" borderId="32"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17" xfId="0" applyFont="1" applyFill="1" applyBorder="1" applyAlignment="1">
      <alignment horizontal="center" vertical="center"/>
    </xf>
    <xf numFmtId="0" fontId="4" fillId="2" borderId="33" xfId="0" applyFont="1" applyFill="1" applyBorder="1" applyAlignment="1">
      <alignment horizontal="center" vertical="center"/>
    </xf>
    <xf numFmtId="0" fontId="4" fillId="2" borderId="35" xfId="0" applyFont="1" applyFill="1" applyBorder="1" applyAlignment="1">
      <alignment horizontal="center" vertical="center"/>
    </xf>
    <xf numFmtId="0" fontId="4" fillId="2" borderId="36" xfId="0" applyFont="1" applyFill="1" applyBorder="1" applyAlignment="1">
      <alignment horizontal="center" vertical="center"/>
    </xf>
    <xf numFmtId="0" fontId="4" fillId="2" borderId="37" xfId="0" applyFont="1" applyFill="1" applyBorder="1" applyAlignment="1">
      <alignment horizontal="center" vertical="center"/>
    </xf>
    <xf numFmtId="0" fontId="4" fillId="2" borderId="18" xfId="0" applyFont="1" applyFill="1" applyBorder="1" applyAlignment="1">
      <alignment horizontal="center" vertical="center"/>
    </xf>
    <xf numFmtId="0" fontId="4" fillId="2" borderId="38"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0" xfId="0" applyFont="1" applyFill="1" applyAlignment="1">
      <alignment horizontal="center" vertical="center"/>
    </xf>
    <xf numFmtId="0" fontId="4" fillId="2" borderId="20" xfId="0" applyFont="1" applyFill="1" applyBorder="1" applyAlignment="1">
      <alignment horizontal="center" vertical="center"/>
    </xf>
    <xf numFmtId="0" fontId="4" fillId="2" borderId="26" xfId="0" applyFont="1" applyFill="1" applyBorder="1" applyAlignment="1">
      <alignment horizontal="center" vertical="center"/>
    </xf>
    <xf numFmtId="0" fontId="4" fillId="2" borderId="27" xfId="0" applyFont="1" applyFill="1" applyBorder="1" applyAlignment="1">
      <alignment horizontal="center" vertical="center"/>
    </xf>
    <xf numFmtId="0" fontId="4" fillId="2" borderId="28"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19"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22" xfId="0" applyFont="1" applyFill="1" applyBorder="1" applyAlignment="1">
      <alignment horizontal="center" vertical="center"/>
    </xf>
    <xf numFmtId="0" fontId="4" fillId="2" borderId="25"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31"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23" xfId="0" applyFont="1" applyFill="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2" fillId="0" borderId="6" xfId="0" applyFont="1" applyBorder="1" applyAlignment="1">
      <alignment horizontal="left"/>
    </xf>
    <xf numFmtId="0" fontId="2" fillId="0" borderId="7" xfId="0" applyFont="1" applyBorder="1" applyAlignment="1">
      <alignment horizontal="left"/>
    </xf>
    <xf numFmtId="0" fontId="2" fillId="0" borderId="8" xfId="0" applyFont="1" applyBorder="1" applyAlignment="1">
      <alignment horizontal="left"/>
    </xf>
    <xf numFmtId="0" fontId="0" fillId="0" borderId="6" xfId="0" applyBorder="1" applyAlignment="1" applyProtection="1">
      <alignment horizontal="center"/>
      <protection locked="0"/>
    </xf>
    <xf numFmtId="0" fontId="0" fillId="0" borderId="7" xfId="0" applyBorder="1" applyAlignment="1" applyProtection="1">
      <alignment horizontal="center"/>
      <protection locked="0"/>
    </xf>
    <xf numFmtId="0" fontId="0" fillId="0" borderId="8" xfId="0" applyBorder="1" applyAlignment="1" applyProtection="1">
      <alignment horizontal="center"/>
      <protection locked="0"/>
    </xf>
    <xf numFmtId="0" fontId="2" fillId="0" borderId="9" xfId="0" applyFont="1" applyBorder="1" applyAlignment="1">
      <alignment horizontal="center"/>
    </xf>
  </cellXfs>
  <cellStyles count="2">
    <cellStyle name="Hyperlink" xfId="1" builtinId="8"/>
    <cellStyle name="Normal" xfId="0" builtinId="0"/>
  </cellStyles>
  <dxfs count="91">
    <dxf>
      <fill>
        <patternFill>
          <bgColor theme="9"/>
        </patternFill>
      </fill>
    </dxf>
    <dxf>
      <fill>
        <patternFill>
          <bgColor theme="9"/>
        </patternFill>
      </fill>
    </dxf>
    <dxf>
      <fill>
        <patternFill>
          <bgColor theme="5"/>
        </patternFill>
      </fill>
    </dxf>
    <dxf>
      <fill>
        <patternFill>
          <bgColor rgb="FFFF0000"/>
        </patternFill>
      </fill>
    </dxf>
    <dxf>
      <fill>
        <patternFill>
          <bgColor theme="9" tint="-0.499984740745262"/>
        </patternFill>
      </fill>
    </dxf>
    <dxf>
      <fill>
        <patternFill>
          <bgColor rgb="FFFF0000"/>
        </patternFill>
      </fill>
    </dxf>
    <dxf>
      <fill>
        <patternFill>
          <bgColor theme="5"/>
        </patternFill>
      </fill>
    </dxf>
    <dxf>
      <fill>
        <patternFill>
          <bgColor theme="9"/>
        </patternFill>
      </fill>
    </dxf>
    <dxf>
      <fill>
        <patternFill>
          <bgColor theme="9" tint="-0.499984740745262"/>
        </patternFill>
      </fill>
    </dxf>
    <dxf>
      <fill>
        <patternFill>
          <bgColor theme="9"/>
        </patternFill>
      </fill>
    </dxf>
    <dxf>
      <fill>
        <patternFill>
          <bgColor theme="9" tint="-0.499984740745262"/>
        </patternFill>
      </fill>
    </dxf>
    <dxf>
      <fill>
        <patternFill>
          <bgColor theme="9"/>
        </patternFill>
      </fill>
    </dxf>
    <dxf>
      <fill>
        <patternFill>
          <bgColor rgb="FFFF0000"/>
        </patternFill>
      </fill>
    </dxf>
    <dxf>
      <fill>
        <patternFill>
          <bgColor theme="5"/>
        </patternFill>
      </fill>
    </dxf>
    <dxf>
      <fill>
        <patternFill>
          <bgColor theme="9"/>
        </patternFill>
      </fill>
    </dxf>
    <dxf>
      <fill>
        <patternFill>
          <bgColor theme="9"/>
        </patternFill>
      </fill>
    </dxf>
    <dxf>
      <fill>
        <patternFill>
          <bgColor theme="5"/>
        </patternFill>
      </fill>
    </dxf>
    <dxf>
      <fill>
        <patternFill>
          <bgColor rgb="FFFF0000"/>
        </patternFill>
      </fill>
    </dxf>
    <dxf>
      <fill>
        <patternFill>
          <bgColor theme="9"/>
        </patternFill>
      </fill>
    </dxf>
    <dxf>
      <fill>
        <patternFill>
          <bgColor theme="9" tint="-0.499984740745262"/>
        </patternFill>
      </fill>
    </dxf>
    <dxf>
      <fill>
        <patternFill>
          <bgColor theme="9" tint="-0.499984740745262"/>
        </patternFill>
      </fill>
    </dxf>
    <dxf>
      <fill>
        <patternFill>
          <bgColor theme="9"/>
        </patternFill>
      </fill>
    </dxf>
    <dxf>
      <fill>
        <patternFill>
          <bgColor theme="9"/>
        </patternFill>
      </fill>
    </dxf>
    <dxf>
      <fill>
        <patternFill>
          <bgColor theme="5"/>
        </patternFill>
      </fill>
    </dxf>
    <dxf>
      <fill>
        <patternFill>
          <bgColor rgb="FFFF0000"/>
        </patternFill>
      </fill>
    </dxf>
    <dxf>
      <fill>
        <patternFill>
          <bgColor theme="5"/>
        </patternFill>
      </fill>
    </dxf>
    <dxf>
      <fill>
        <patternFill>
          <bgColor theme="9"/>
        </patternFill>
      </fill>
    </dxf>
    <dxf>
      <fill>
        <patternFill>
          <bgColor rgb="FFFF0000"/>
        </patternFill>
      </fill>
    </dxf>
    <dxf>
      <fill>
        <patternFill>
          <bgColor theme="9"/>
        </patternFill>
      </fill>
    </dxf>
    <dxf>
      <fill>
        <patternFill>
          <bgColor theme="9" tint="-0.499984740745262"/>
        </patternFill>
      </fill>
    </dxf>
    <dxf>
      <fill>
        <patternFill>
          <bgColor theme="5"/>
        </patternFill>
      </fill>
    </dxf>
    <dxf>
      <fill>
        <patternFill>
          <bgColor rgb="FFFF0000"/>
        </patternFill>
      </fill>
    </dxf>
    <dxf>
      <fill>
        <patternFill>
          <bgColor theme="9"/>
        </patternFill>
      </fill>
    </dxf>
    <dxf>
      <fill>
        <patternFill>
          <bgColor theme="9" tint="-0.499984740745262"/>
        </patternFill>
      </fill>
    </dxf>
    <dxf>
      <fill>
        <patternFill>
          <bgColor theme="9"/>
        </patternFill>
      </fill>
    </dxf>
    <dxf>
      <fill>
        <patternFill>
          <bgColor rgb="FFFF0000"/>
        </patternFill>
      </fill>
    </dxf>
    <dxf>
      <fill>
        <patternFill>
          <bgColor theme="5"/>
        </patternFill>
      </fill>
    </dxf>
    <dxf>
      <fill>
        <patternFill>
          <bgColor theme="5"/>
        </patternFill>
      </fill>
    </dxf>
    <dxf>
      <fill>
        <patternFill>
          <bgColor rgb="FFFF0000"/>
        </patternFill>
      </fill>
    </dxf>
    <dxf>
      <fill>
        <patternFill>
          <bgColor theme="5"/>
        </patternFill>
      </fill>
    </dxf>
    <dxf>
      <fill>
        <patternFill>
          <bgColor theme="5"/>
        </patternFill>
      </fill>
    </dxf>
    <dxf>
      <fill>
        <patternFill>
          <bgColor rgb="FFFF0000"/>
        </patternFill>
      </fill>
    </dxf>
    <dxf>
      <fill>
        <patternFill>
          <bgColor theme="5"/>
        </patternFill>
      </fill>
    </dxf>
    <dxf>
      <fill>
        <patternFill>
          <bgColor theme="5"/>
        </patternFill>
      </fill>
    </dxf>
    <dxf>
      <fill>
        <patternFill>
          <bgColor theme="5"/>
        </patternFill>
      </fill>
    </dxf>
    <dxf>
      <fill>
        <patternFill>
          <bgColor rgb="FFFF0000"/>
        </patternFill>
      </fill>
    </dxf>
    <dxf>
      <fill>
        <patternFill>
          <bgColor theme="5"/>
        </patternFill>
      </fill>
    </dxf>
    <dxf>
      <fill>
        <patternFill>
          <bgColor rgb="FFFF0000"/>
        </patternFill>
      </fill>
    </dxf>
    <dxf>
      <fill>
        <patternFill>
          <bgColor theme="5"/>
        </patternFill>
      </fill>
    </dxf>
    <dxf>
      <fill>
        <patternFill>
          <bgColor theme="5"/>
        </patternFill>
      </fill>
    </dxf>
    <dxf>
      <fill>
        <patternFill>
          <bgColor rgb="FFFF0000"/>
        </patternFill>
      </fill>
    </dxf>
    <dxf>
      <fill>
        <patternFill>
          <bgColor theme="5"/>
        </patternFill>
      </fill>
    </dxf>
    <dxf>
      <fill>
        <patternFill>
          <bgColor theme="5"/>
        </patternFill>
      </fill>
    </dxf>
    <dxf>
      <fill>
        <patternFill>
          <bgColor rgb="FFFF0000"/>
        </patternFill>
      </fill>
    </dxf>
    <dxf>
      <fill>
        <patternFill>
          <bgColor theme="5"/>
        </patternFill>
      </fill>
    </dxf>
    <dxf>
      <fill>
        <patternFill>
          <bgColor theme="5"/>
        </patternFill>
      </fill>
    </dxf>
    <dxf>
      <fill>
        <patternFill>
          <bgColor theme="9" tint="-0.499984740745262"/>
        </patternFill>
      </fill>
    </dxf>
    <dxf>
      <fill>
        <patternFill>
          <bgColor theme="9"/>
        </patternFill>
      </fill>
    </dxf>
    <dxf>
      <fill>
        <patternFill>
          <bgColor rgb="FFFF0000"/>
        </patternFill>
      </fill>
    </dxf>
    <dxf>
      <fill>
        <patternFill>
          <bgColor theme="5"/>
        </patternFill>
      </fill>
    </dxf>
    <dxf>
      <fill>
        <patternFill>
          <bgColor theme="9"/>
        </patternFill>
      </fill>
    </dxf>
    <dxf>
      <fill>
        <patternFill>
          <bgColor theme="9"/>
        </patternFill>
      </fill>
    </dxf>
    <dxf>
      <fill>
        <patternFill>
          <bgColor rgb="FFFF0000"/>
        </patternFill>
      </fill>
    </dxf>
    <dxf>
      <fill>
        <patternFill>
          <bgColor theme="9"/>
        </patternFill>
      </fill>
    </dxf>
    <dxf>
      <fill>
        <patternFill>
          <bgColor theme="5"/>
        </patternFill>
      </fill>
    </dxf>
    <dxf>
      <fill>
        <patternFill>
          <bgColor theme="9" tint="-0.499984740745262"/>
        </patternFill>
      </fill>
    </dxf>
    <dxf>
      <fill>
        <patternFill>
          <bgColor theme="9"/>
        </patternFill>
      </fill>
    </dxf>
    <dxf>
      <fill>
        <patternFill>
          <bgColor rgb="FFFF0000"/>
        </patternFill>
      </fill>
    </dxf>
    <dxf>
      <fill>
        <patternFill>
          <bgColor theme="9"/>
        </patternFill>
      </fill>
    </dxf>
    <dxf>
      <fill>
        <patternFill>
          <bgColor theme="9" tint="-0.499984740745262"/>
        </patternFill>
      </fill>
    </dxf>
    <dxf>
      <fill>
        <patternFill>
          <bgColor theme="5"/>
        </patternFill>
      </fill>
    </dxf>
    <dxf>
      <fill>
        <patternFill>
          <bgColor theme="5"/>
        </patternFill>
      </fill>
    </dxf>
    <dxf>
      <fill>
        <patternFill>
          <bgColor theme="9" tint="-0.499984740745262"/>
        </patternFill>
      </fill>
    </dxf>
    <dxf>
      <fill>
        <patternFill>
          <bgColor theme="9"/>
        </patternFill>
      </fill>
    </dxf>
    <dxf>
      <fill>
        <patternFill>
          <bgColor rgb="FFFF0000"/>
        </patternFill>
      </fill>
    </dxf>
    <dxf>
      <fill>
        <patternFill>
          <bgColor theme="9"/>
        </patternFill>
      </fill>
    </dxf>
    <dxf>
      <fill>
        <patternFill>
          <bgColor theme="9" tint="-0.499984740745262"/>
        </patternFill>
      </fill>
    </dxf>
    <dxf>
      <fill>
        <patternFill>
          <bgColor theme="9"/>
        </patternFill>
      </fill>
    </dxf>
    <dxf>
      <fill>
        <patternFill>
          <bgColor rgb="FFFF0000"/>
        </patternFill>
      </fill>
    </dxf>
    <dxf>
      <fill>
        <patternFill>
          <bgColor theme="9"/>
        </patternFill>
      </fill>
    </dxf>
    <dxf>
      <fill>
        <patternFill>
          <bgColor theme="5"/>
        </patternFill>
      </fill>
    </dxf>
    <dxf>
      <fill>
        <patternFill>
          <bgColor theme="9"/>
        </patternFill>
      </fill>
    </dxf>
    <dxf>
      <fill>
        <patternFill>
          <bgColor theme="5"/>
        </patternFill>
      </fill>
    </dxf>
    <dxf>
      <fill>
        <patternFill>
          <bgColor theme="9"/>
        </patternFill>
      </fill>
    </dxf>
    <dxf>
      <fill>
        <patternFill>
          <bgColor theme="9" tint="-0.499984740745262"/>
        </patternFill>
      </fill>
    </dxf>
    <dxf>
      <fill>
        <patternFill>
          <bgColor rgb="FFFF0000"/>
        </patternFill>
      </fill>
    </dxf>
    <dxf>
      <fill>
        <patternFill>
          <bgColor theme="5"/>
        </patternFill>
      </fill>
    </dxf>
    <dxf>
      <fill>
        <patternFill>
          <bgColor rgb="FFFF0000"/>
        </patternFill>
      </fill>
    </dxf>
    <dxf>
      <fill>
        <patternFill>
          <bgColor theme="9"/>
        </patternFill>
      </fill>
    </dxf>
    <dxf>
      <fill>
        <patternFill>
          <bgColor theme="9"/>
        </patternFill>
      </fill>
    </dxf>
    <dxf>
      <fill>
        <patternFill>
          <bgColor theme="9"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docs.microsoft.com/windows-hardware/manufacture/desktop/features-on-demand-language-fod" TargetMode="External"/><Relationship Id="rId2" Type="http://schemas.openxmlformats.org/officeDocument/2006/relationships/hyperlink" Target="https://docs.microsoft.com/windows-hardware/manufacture/desktop/features-on-demand-v2--capabilities" TargetMode="External"/><Relationship Id="rId1" Type="http://schemas.openxmlformats.org/officeDocument/2006/relationships/hyperlink" Target="https://docs.microsoft.com/windows-hardware/manufacture/desktop/language-packs-and-windows-deployment" TargetMode="External"/><Relationship Id="rId4" Type="http://schemas.openxmlformats.org/officeDocument/2006/relationships/hyperlink" Target="https://www.youtube.com/watch?v=BDMG-e3svT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6F297-0784-4AEA-AFD9-87B8017C0B2B}">
  <dimension ref="A1:BF35"/>
  <sheetViews>
    <sheetView showGridLines="0" tabSelected="1" zoomScale="120" zoomScaleNormal="120" workbookViewId="0">
      <selection activeCell="F3" sqref="F3:P3"/>
    </sheetView>
  </sheetViews>
  <sheetFormatPr defaultRowHeight="14.25" x14ac:dyDescent="0.45"/>
  <cols>
    <col min="1" max="37" width="3.33203125" customWidth="1"/>
    <col min="38" max="41" width="3.33203125" hidden="1" customWidth="1"/>
    <col min="42" max="42" width="2.265625" hidden="1" customWidth="1"/>
    <col min="43" max="53" width="3.33203125" hidden="1" customWidth="1"/>
    <col min="58" max="58" width="0" hidden="1" customWidth="1"/>
  </cols>
  <sheetData>
    <row r="1" spans="1:58" ht="26" customHeight="1" x14ac:dyDescent="0.45">
      <c r="A1" s="129" t="s">
        <v>0</v>
      </c>
      <c r="B1" s="130"/>
      <c r="C1" s="130"/>
      <c r="D1" s="130"/>
      <c r="E1" s="130"/>
      <c r="F1" s="130"/>
      <c r="G1" s="130"/>
      <c r="H1" s="130"/>
      <c r="I1" s="130"/>
      <c r="J1" s="130"/>
      <c r="K1" s="130"/>
      <c r="L1" s="130"/>
      <c r="M1" s="130"/>
      <c r="N1" s="130"/>
      <c r="O1" s="130"/>
      <c r="P1" s="130"/>
      <c r="Q1" s="130"/>
      <c r="R1" s="130"/>
      <c r="S1" s="130"/>
      <c r="T1" s="130"/>
      <c r="U1" s="130"/>
      <c r="V1" s="130"/>
      <c r="W1" s="130"/>
      <c r="X1" s="130"/>
      <c r="Y1" s="130"/>
      <c r="Z1" s="130"/>
      <c r="AA1" s="130"/>
      <c r="AB1" s="130"/>
      <c r="AC1" s="130"/>
      <c r="AD1" s="130"/>
      <c r="AE1" s="130"/>
      <c r="AF1" s="130"/>
      <c r="AG1" s="130"/>
      <c r="AH1" s="130"/>
      <c r="AI1" s="130"/>
      <c r="AJ1" s="130"/>
      <c r="AK1" s="131"/>
    </row>
    <row r="2" spans="1:58" x14ac:dyDescent="0.4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3"/>
    </row>
    <row r="3" spans="1:58" x14ac:dyDescent="0.45">
      <c r="A3" s="4"/>
      <c r="B3" s="132" t="s">
        <v>1</v>
      </c>
      <c r="C3" s="133"/>
      <c r="D3" s="133"/>
      <c r="E3" s="134"/>
      <c r="F3" s="135" t="s">
        <v>118</v>
      </c>
      <c r="G3" s="136"/>
      <c r="H3" s="136"/>
      <c r="I3" s="136"/>
      <c r="J3" s="136"/>
      <c r="K3" s="136"/>
      <c r="L3" s="136"/>
      <c r="M3" s="136"/>
      <c r="N3" s="136"/>
      <c r="O3" s="136"/>
      <c r="P3" s="137"/>
      <c r="T3" s="132" t="s">
        <v>2</v>
      </c>
      <c r="U3" s="133"/>
      <c r="V3" s="133"/>
      <c r="W3" s="134"/>
      <c r="X3" s="135" t="s">
        <v>117</v>
      </c>
      <c r="Y3" s="136"/>
      <c r="Z3" s="136"/>
      <c r="AA3" s="136"/>
      <c r="AB3" s="136"/>
      <c r="AC3" s="136"/>
      <c r="AD3" s="136"/>
      <c r="AE3" s="136"/>
      <c r="AF3" s="136"/>
      <c r="AG3" s="136"/>
      <c r="AH3" s="137"/>
      <c r="AK3" s="3"/>
    </row>
    <row r="4" spans="1:58" x14ac:dyDescent="0.45">
      <c r="A4" s="1"/>
      <c r="B4" s="138" t="s">
        <v>3</v>
      </c>
      <c r="C4" s="138"/>
      <c r="D4" s="138"/>
      <c r="E4" s="138"/>
      <c r="F4" s="138"/>
      <c r="G4" s="138"/>
      <c r="H4" s="138"/>
      <c r="I4" s="138"/>
      <c r="J4" s="138"/>
      <c r="K4" s="138"/>
      <c r="L4" s="138"/>
      <c r="M4" s="138"/>
      <c r="N4" s="138"/>
      <c r="O4" s="138"/>
      <c r="P4" s="138"/>
      <c r="Q4" s="2"/>
      <c r="R4" s="2"/>
      <c r="S4" s="2"/>
      <c r="T4" s="138" t="s">
        <v>4</v>
      </c>
      <c r="U4" s="138"/>
      <c r="V4" s="138"/>
      <c r="W4" s="138"/>
      <c r="X4" s="138"/>
      <c r="Y4" s="138"/>
      <c r="Z4" s="138"/>
      <c r="AA4" s="138"/>
      <c r="AB4" s="138"/>
      <c r="AC4" s="138"/>
      <c r="AD4" s="138"/>
      <c r="AE4" s="138"/>
      <c r="AF4" s="138"/>
      <c r="AG4" s="138"/>
      <c r="AH4" s="138"/>
      <c r="AI4" s="2"/>
      <c r="AJ4" s="2"/>
      <c r="AK4" s="3"/>
    </row>
    <row r="5" spans="1:58" x14ac:dyDescent="0.45">
      <c r="A5" s="4"/>
      <c r="B5" s="45"/>
      <c r="C5" s="45"/>
      <c r="D5" s="45"/>
      <c r="E5" s="45"/>
      <c r="F5" s="45"/>
      <c r="G5" s="45"/>
      <c r="H5" s="45" t="s">
        <v>5</v>
      </c>
      <c r="I5" s="45"/>
      <c r="J5" s="45"/>
      <c r="K5" s="45"/>
      <c r="L5" s="45"/>
      <c r="M5" s="45"/>
      <c r="N5" s="45"/>
      <c r="O5" s="45"/>
      <c r="P5" s="45"/>
      <c r="Q5" s="5"/>
      <c r="R5" s="5"/>
      <c r="S5" s="5"/>
      <c r="T5" s="45"/>
      <c r="U5" s="45"/>
      <c r="V5" s="45"/>
      <c r="W5" s="45"/>
      <c r="X5" s="45"/>
      <c r="Y5" s="45"/>
      <c r="Z5" s="45" t="s">
        <v>5</v>
      </c>
      <c r="AA5" s="45"/>
      <c r="AB5" s="45"/>
      <c r="AC5" s="45"/>
      <c r="AD5" s="45"/>
      <c r="AE5" s="45"/>
      <c r="AF5" s="45"/>
      <c r="AG5" s="45"/>
      <c r="AH5" s="45"/>
      <c r="AK5" s="3"/>
    </row>
    <row r="6" spans="1:58" x14ac:dyDescent="0.45">
      <c r="A6" s="4"/>
      <c r="B6" s="45"/>
      <c r="C6" s="45"/>
      <c r="D6" s="45"/>
      <c r="E6" s="45"/>
      <c r="F6" s="45"/>
      <c r="G6" s="45"/>
      <c r="H6" s="45"/>
      <c r="I6" s="45"/>
      <c r="J6" s="45"/>
      <c r="K6" s="45"/>
      <c r="L6" s="45"/>
      <c r="M6" s="45"/>
      <c r="N6" s="45"/>
      <c r="O6" s="45"/>
      <c r="P6" s="45"/>
      <c r="Q6" s="5"/>
      <c r="R6" s="5"/>
      <c r="S6" s="5"/>
      <c r="T6" s="45"/>
      <c r="U6" s="45"/>
      <c r="V6" s="45"/>
      <c r="W6" s="45"/>
      <c r="X6" s="45"/>
      <c r="Y6" s="45"/>
      <c r="Z6" s="45"/>
      <c r="AA6" s="45"/>
      <c r="AB6" s="45"/>
      <c r="AC6" s="45"/>
      <c r="AD6" s="45"/>
      <c r="AE6" s="45"/>
      <c r="AF6" s="45"/>
      <c r="AG6" s="45"/>
      <c r="AH6" s="45"/>
      <c r="AK6" s="3"/>
    </row>
    <row r="7" spans="1:58" ht="14.65" thickBot="1" x14ac:dyDescent="0.5">
      <c r="A7" s="4"/>
      <c r="B7" s="45"/>
      <c r="C7" s="45"/>
      <c r="D7" s="45"/>
      <c r="E7" s="45"/>
      <c r="F7" s="45"/>
      <c r="G7" s="45"/>
      <c r="H7" s="45"/>
      <c r="I7" s="45"/>
      <c r="J7" s="45"/>
      <c r="K7" s="45"/>
      <c r="L7" s="45"/>
      <c r="M7" s="45"/>
      <c r="N7" s="45"/>
      <c r="O7" s="45"/>
      <c r="P7" s="45"/>
      <c r="Q7" s="5"/>
      <c r="R7" s="5"/>
      <c r="S7" s="5"/>
      <c r="T7" s="45"/>
      <c r="U7" s="45"/>
      <c r="V7" s="45"/>
      <c r="W7" s="45"/>
      <c r="X7" s="45"/>
      <c r="Y7" s="45"/>
      <c r="Z7" s="45"/>
      <c r="AA7" s="45"/>
      <c r="AB7" s="45"/>
      <c r="AC7" s="45"/>
      <c r="AD7" s="45"/>
      <c r="AE7" s="45"/>
      <c r="AF7" s="45"/>
      <c r="AG7" s="45"/>
      <c r="AH7" s="45"/>
      <c r="AK7" s="3"/>
    </row>
    <row r="8" spans="1:58" x14ac:dyDescent="0.45">
      <c r="A8" s="4"/>
      <c r="B8" s="45" t="s">
        <v>6</v>
      </c>
      <c r="C8" s="45"/>
      <c r="D8" s="45"/>
      <c r="E8" s="127">
        <f>IF(OR(LEFT($F$3,1)=$AD28,OR(LEFT($F$3,1)=$AE28,OR(LEFT($F$3,1)=$AF28,OR(LEFT($F$3,1)=$AG28,OR(LEFT(F3,1)=AH28,OR(LEFT(F3,1)=AI28,LEFT(F3,1)=AJ28)))))),1,E11+1)</f>
        <v>3</v>
      </c>
      <c r="F8" s="117"/>
      <c r="G8" s="118"/>
      <c r="H8" s="116">
        <f>IF(OR(LEFT($F$3,1)=$AL21,OR(LEFT($F$3,1)=$AM21,OR(LEFT($F$3,1)=$AN21,OR(LEFT($F$3,1)=$AO21,OR(LEFT($F$3,1)=AP21,OR(LEFT($F$3,1)=AQ21,OR(LEFT($F$3,1)=AR21,OR(LEFT($F$3,1)=AS21,OR(LEFT($F$3,1)=AT21,OR(LEFT($F$3,1)=AU21,OR(LEFT($F$3,1)=AV21,OR(LEFT($F$3,1)=AW21,OR(LEFT($F$3,1)=AX21,OR(LEFT($F$3,1)=AY21,OR(LEFT($F$3,1)=AZ21,LEFT($F$3,1)=BA21))))))))))))))),1,E8+1 )</f>
        <v>4</v>
      </c>
      <c r="I8" s="117"/>
      <c r="J8" s="118"/>
      <c r="K8" s="116">
        <f>IF(OR(LEFT(F3,1)=AD22,OR(LEFT(F3,1)=AE22,LEFT(F3,1)=AF22,OR(LEFT(F3,1)=AG22,LEFT($F$3,1)=AH22))),1,H8+1)</f>
        <v>5</v>
      </c>
      <c r="L8" s="117"/>
      <c r="M8" s="120"/>
      <c r="N8" s="45" t="s">
        <v>7</v>
      </c>
      <c r="O8" s="45"/>
      <c r="P8" s="45"/>
      <c r="Q8" s="5"/>
      <c r="R8" s="5"/>
      <c r="S8" s="5"/>
      <c r="T8" s="45" t="s">
        <v>6</v>
      </c>
      <c r="U8" s="45"/>
      <c r="V8" s="45"/>
      <c r="W8" s="107">
        <f>IF(OR(LEFT($X$3,1)=$AD28,OR(LEFT($X$3,1)=$AE28,OR(LEFT($X$3,1)=$AF28,OR(LEFT($X$3,1)=$AG28,OR(LEFT(X3,1)=AH28,OR(LEFT(X3,1)=AI28,LEFT(X3,1)=AJ28)))))),1,W11+1)</f>
        <v>8</v>
      </c>
      <c r="X8" s="108"/>
      <c r="Y8" s="109"/>
      <c r="Z8" s="116">
        <f>IF(OR(LEFT($X$3,1)=$AL21,OR(LEFT($X$3,1)=$AM21,OR(LEFT($X$3,1)=$AN21,OR(LEFT($X$3,1)=$AO21,OR(LEFT($X$3,1)=AP21,OR(LEFT($X$3,1)=AQ21,OR(LEFT($X$3,1)=AR21,OR(LEFT($X$3,1)=AS21,OR(LEFT($X$3,1)=AT21,OR(LEFT($X$3,1)=AU21,OR(LEFT($X$3,1)=AV21,OR(LEFT($X$3,1)=AW21,OR(LEFT($X$3,1)=AX21,OR(LEFT($X$3,1)=AY21,OR(LEFT($X$3,1)=AZ21,LEFT($X$3,1)=BA21))))))))))))))),1,W8+1 )</f>
        <v>1</v>
      </c>
      <c r="AA8" s="117"/>
      <c r="AB8" s="118"/>
      <c r="AC8" s="116">
        <f>IF(OR(LEFT($X$3,1)=AD22,OR(LEFT($X$3,1)=AE22,LEFT($X$3,1)=AF22,OR(LEFT($X$3,1)=AG22,LEFT($X$3,1)=AH22))),1,Z8+1)</f>
        <v>2</v>
      </c>
      <c r="AD8" s="117"/>
      <c r="AE8" s="120"/>
      <c r="AF8" s="45" t="s">
        <v>7</v>
      </c>
      <c r="AG8" s="45"/>
      <c r="AH8" s="45"/>
      <c r="AK8" s="3"/>
    </row>
    <row r="9" spans="1:58" x14ac:dyDescent="0.45">
      <c r="A9" s="4"/>
      <c r="B9" s="45"/>
      <c r="C9" s="45"/>
      <c r="D9" s="45"/>
      <c r="E9" s="99"/>
      <c r="F9" s="100"/>
      <c r="G9" s="119"/>
      <c r="H9" s="105"/>
      <c r="I9" s="100"/>
      <c r="J9" s="119"/>
      <c r="K9" s="105"/>
      <c r="L9" s="100"/>
      <c r="M9" s="121"/>
      <c r="N9" s="45"/>
      <c r="O9" s="45"/>
      <c r="P9" s="45"/>
      <c r="Q9" s="5"/>
      <c r="R9" s="5"/>
      <c r="S9" s="5"/>
      <c r="T9" s="45"/>
      <c r="U9" s="45"/>
      <c r="V9" s="45"/>
      <c r="W9" s="110"/>
      <c r="X9" s="111"/>
      <c r="Y9" s="112"/>
      <c r="Z9" s="105"/>
      <c r="AA9" s="100"/>
      <c r="AB9" s="119"/>
      <c r="AC9" s="105"/>
      <c r="AD9" s="100"/>
      <c r="AE9" s="121"/>
      <c r="AF9" s="45"/>
      <c r="AG9" s="45"/>
      <c r="AH9" s="45"/>
      <c r="AK9" s="3"/>
      <c r="BF9" t="s">
        <v>5</v>
      </c>
    </row>
    <row r="10" spans="1:58" x14ac:dyDescent="0.45">
      <c r="A10" s="4"/>
      <c r="B10" s="45"/>
      <c r="C10" s="45"/>
      <c r="D10" s="45"/>
      <c r="E10" s="125"/>
      <c r="F10" s="123"/>
      <c r="G10" s="128"/>
      <c r="H10" s="105"/>
      <c r="I10" s="100"/>
      <c r="J10" s="119"/>
      <c r="K10" s="122"/>
      <c r="L10" s="123"/>
      <c r="M10" s="124"/>
      <c r="N10" s="45"/>
      <c r="O10" s="45"/>
      <c r="P10" s="45"/>
      <c r="Q10" s="5"/>
      <c r="R10" s="5"/>
      <c r="S10" s="5"/>
      <c r="T10" s="45"/>
      <c r="U10" s="45"/>
      <c r="V10" s="45"/>
      <c r="W10" s="113"/>
      <c r="X10" s="114"/>
      <c r="Y10" s="115"/>
      <c r="Z10" s="105"/>
      <c r="AA10" s="100"/>
      <c r="AB10" s="119"/>
      <c r="AC10" s="122"/>
      <c r="AD10" s="123"/>
      <c r="AE10" s="124"/>
      <c r="AF10" s="45"/>
      <c r="AG10" s="45"/>
      <c r="AH10" s="45"/>
      <c r="AK10" s="3"/>
      <c r="BF10" t="s">
        <v>7</v>
      </c>
    </row>
    <row r="11" spans="1:58" x14ac:dyDescent="0.45">
      <c r="A11" s="4"/>
      <c r="B11" s="45" t="s">
        <v>8</v>
      </c>
      <c r="C11" s="45"/>
      <c r="D11" s="45"/>
      <c r="E11" s="96">
        <f>IF(OR(LEFT($F$3,1)=$AD27,OR(LEFT($F$3,1)=$AE27,LEFT($F$3,1)=$AF27,OR(LEFT($F$3,1)=$AG27,LEFT($F$3,1)=$AH27))),1,E14+1)</f>
        <v>2</v>
      </c>
      <c r="F11" s="97"/>
      <c r="G11" s="97"/>
      <c r="H11" s="77"/>
      <c r="I11" s="77"/>
      <c r="J11" s="77"/>
      <c r="K11" s="97">
        <f>IF(OR(LEFT($F$3,1)=$AD23,OR(LEFT($F$3,1)=$AE23,LEFT($F$3,1)=$AF23,OR(LEFT($F$3,1)=$AG23,LEFT($F$3,1)=$AH23))),1,K8+1)</f>
        <v>6</v>
      </c>
      <c r="L11" s="97"/>
      <c r="M11" s="126"/>
      <c r="N11" s="45" t="s">
        <v>9</v>
      </c>
      <c r="O11" s="45"/>
      <c r="P11" s="45"/>
      <c r="Q11" s="5"/>
      <c r="R11" s="5"/>
      <c r="S11" s="5"/>
      <c r="T11" s="45" t="s">
        <v>8</v>
      </c>
      <c r="U11" s="45"/>
      <c r="V11" s="45"/>
      <c r="W11" s="96">
        <f>IF(OR(LEFT($X$3,1)=$AD27,OR(LEFT($X$3,1)=$AE27,LEFT($X$3,1)=$AF27,OR(LEFT($X$3,1)=$AG27,LEFT($X$3,1)=$AH27))),1,W14+1)</f>
        <v>7</v>
      </c>
      <c r="X11" s="97"/>
      <c r="Y11" s="97"/>
      <c r="Z11" s="77"/>
      <c r="AA11" s="77"/>
      <c r="AB11" s="77"/>
      <c r="AC11" s="97">
        <f>IF(OR(LEFT($X$3,1)=$AD23,OR(LEFT($X$3,1)=$AE23,LEFT($X$3,1)=$AF23,OR(LEFT($X$3,1)=$AG23,LEFT($X$3,1)=$AH23))),1,AC8+1)</f>
        <v>3</v>
      </c>
      <c r="AD11" s="97"/>
      <c r="AE11" s="126"/>
      <c r="AF11" s="45" t="s">
        <v>9</v>
      </c>
      <c r="AG11" s="45"/>
      <c r="AH11" s="45"/>
      <c r="AK11" s="3"/>
      <c r="BF11" t="s">
        <v>9</v>
      </c>
    </row>
    <row r="12" spans="1:58" x14ac:dyDescent="0.45">
      <c r="A12" s="4"/>
      <c r="B12" s="45"/>
      <c r="C12" s="45"/>
      <c r="D12" s="45"/>
      <c r="E12" s="99"/>
      <c r="F12" s="100"/>
      <c r="G12" s="100"/>
      <c r="H12" s="77"/>
      <c r="I12" s="77"/>
      <c r="J12" s="77"/>
      <c r="K12" s="100"/>
      <c r="L12" s="100"/>
      <c r="M12" s="121"/>
      <c r="N12" s="45"/>
      <c r="O12" s="45"/>
      <c r="P12" s="45"/>
      <c r="Q12" s="5"/>
      <c r="R12" s="5"/>
      <c r="S12" s="5"/>
      <c r="T12" s="45"/>
      <c r="U12" s="45"/>
      <c r="V12" s="45"/>
      <c r="W12" s="99"/>
      <c r="X12" s="100"/>
      <c r="Y12" s="100"/>
      <c r="Z12" s="77"/>
      <c r="AA12" s="77"/>
      <c r="AB12" s="77"/>
      <c r="AC12" s="100"/>
      <c r="AD12" s="100"/>
      <c r="AE12" s="121"/>
      <c r="AF12" s="45"/>
      <c r="AG12" s="45"/>
      <c r="AH12" s="45"/>
      <c r="AK12" s="3"/>
      <c r="BF12" t="s">
        <v>10</v>
      </c>
    </row>
    <row r="13" spans="1:58" x14ac:dyDescent="0.45">
      <c r="A13" s="4"/>
      <c r="B13" s="45"/>
      <c r="C13" s="45"/>
      <c r="D13" s="45"/>
      <c r="E13" s="125"/>
      <c r="F13" s="123"/>
      <c r="G13" s="123"/>
      <c r="H13" s="77"/>
      <c r="I13" s="77"/>
      <c r="J13" s="77"/>
      <c r="K13" s="123"/>
      <c r="L13" s="123"/>
      <c r="M13" s="124"/>
      <c r="N13" s="45"/>
      <c r="O13" s="45"/>
      <c r="P13" s="45"/>
      <c r="Q13" s="5"/>
      <c r="R13" s="5"/>
      <c r="S13" s="5"/>
      <c r="T13" s="45"/>
      <c r="U13" s="45"/>
      <c r="V13" s="45"/>
      <c r="W13" s="125"/>
      <c r="X13" s="123"/>
      <c r="Y13" s="123"/>
      <c r="Z13" s="77"/>
      <c r="AA13" s="77"/>
      <c r="AB13" s="77"/>
      <c r="AC13" s="123"/>
      <c r="AD13" s="123"/>
      <c r="AE13" s="124"/>
      <c r="AF13" s="45"/>
      <c r="AG13" s="45"/>
      <c r="AH13" s="45"/>
      <c r="AK13" s="3"/>
      <c r="BF13" t="s">
        <v>11</v>
      </c>
    </row>
    <row r="14" spans="1:58" x14ac:dyDescent="0.45">
      <c r="A14" s="4"/>
      <c r="B14" s="45" t="s">
        <v>11</v>
      </c>
      <c r="C14" s="45"/>
      <c r="D14" s="45"/>
      <c r="E14" s="96">
        <f>IF(OR(LEFT($F$3,1)=$AD26,OR(LEFT($F$3,1)=$AE26,LEFT($F$3,1)=$AF26,OR(LEFT($F$3,1)=$AG26,LEFT($F$3,1)=$AH26))),1,H14+1)</f>
        <v>1</v>
      </c>
      <c r="F14" s="97"/>
      <c r="G14" s="98"/>
      <c r="H14" s="105">
        <f>IF(OR(LEFT($F$3,1)=$AD25,OR(LEFT($F$3,1)=$AE25,LEFT($F$3,1)=$AF25,OR(LEFT($F$3,1)=$AG25,LEFT($F$3,1)=$AH25))),1,K14+1)</f>
        <v>8</v>
      </c>
      <c r="I14" s="100"/>
      <c r="J14" s="101"/>
      <c r="K14" s="62">
        <f>IF(OR(LEFT($F$3,1)=$AD24,OR(LEFT($F$3,1)=$AE24,LEFT($F$3,1)=$AF24,OR(LEFT($F$3,1)=$AG24,LEFT($F$3,1)=$AH24))),1,K11+1)</f>
        <v>7</v>
      </c>
      <c r="L14" s="63"/>
      <c r="M14" s="64"/>
      <c r="N14" s="45" t="s">
        <v>12</v>
      </c>
      <c r="O14" s="45"/>
      <c r="P14" s="45"/>
      <c r="Q14" s="5"/>
      <c r="R14" s="5"/>
      <c r="S14" s="5"/>
      <c r="T14" s="45" t="s">
        <v>11</v>
      </c>
      <c r="U14" s="45"/>
      <c r="V14" s="45"/>
      <c r="W14" s="96">
        <f>IF(OR(LEFT($X$3,1)=$AD26,OR(LEFT($X$3,1)=$AE26,LEFT($X$3,1)=$AF26,OR(LEFT($X$3,1)=$AG26,LEFT($X$3,1)=$AH26))),1,Z14+1)</f>
        <v>6</v>
      </c>
      <c r="X14" s="97"/>
      <c r="Y14" s="98"/>
      <c r="Z14" s="105">
        <f>IF(OR(LEFT($X$3,1)=$AD25,OR(LEFT($X$3,1)=$AE25,LEFT($X$3,1)=$AF25,OR(LEFT($X$3,1)=$AG25,LEFT($X$3,1)=$AH25))),1,AC14+1)</f>
        <v>5</v>
      </c>
      <c r="AA14" s="100"/>
      <c r="AB14" s="101"/>
      <c r="AC14" s="62">
        <f>IF(OR(LEFT($X$3,1)=$AD24,OR(LEFT($X$3,1)=$AE24,LEFT($X$3,1)=$AF24,OR(LEFT($X$3,1)=$AG24,LEFT($X$3,1)=$AH24))),1,AC11+1)</f>
        <v>4</v>
      </c>
      <c r="AD14" s="63"/>
      <c r="AE14" s="64"/>
      <c r="AF14" s="45" t="s">
        <v>12</v>
      </c>
      <c r="AG14" s="45"/>
      <c r="AH14" s="45"/>
      <c r="AK14" s="3"/>
      <c r="BF14" t="s">
        <v>8</v>
      </c>
    </row>
    <row r="15" spans="1:58" x14ac:dyDescent="0.45">
      <c r="A15" s="4"/>
      <c r="B15" s="45"/>
      <c r="C15" s="45"/>
      <c r="D15" s="45"/>
      <c r="E15" s="99"/>
      <c r="F15" s="100"/>
      <c r="G15" s="101"/>
      <c r="H15" s="105"/>
      <c r="I15" s="100"/>
      <c r="J15" s="101"/>
      <c r="K15" s="65"/>
      <c r="L15" s="66"/>
      <c r="M15" s="67"/>
      <c r="N15" s="45"/>
      <c r="O15" s="45"/>
      <c r="P15" s="45"/>
      <c r="Q15" s="5"/>
      <c r="R15" s="5"/>
      <c r="S15" s="5"/>
      <c r="T15" s="45"/>
      <c r="U15" s="45"/>
      <c r="V15" s="45"/>
      <c r="W15" s="99"/>
      <c r="X15" s="100"/>
      <c r="Y15" s="101"/>
      <c r="Z15" s="105"/>
      <c r="AA15" s="100"/>
      <c r="AB15" s="101"/>
      <c r="AC15" s="65"/>
      <c r="AD15" s="66"/>
      <c r="AE15" s="67"/>
      <c r="AF15" s="45"/>
      <c r="AG15" s="45"/>
      <c r="AH15" s="45"/>
      <c r="AK15" s="3"/>
      <c r="BF15" t="s">
        <v>6</v>
      </c>
    </row>
    <row r="16" spans="1:58" ht="14.65" thickBot="1" x14ac:dyDescent="0.5">
      <c r="A16" s="4"/>
      <c r="B16" s="45"/>
      <c r="C16" s="45"/>
      <c r="D16" s="45"/>
      <c r="E16" s="102"/>
      <c r="F16" s="103"/>
      <c r="G16" s="104"/>
      <c r="H16" s="106"/>
      <c r="I16" s="103"/>
      <c r="J16" s="104"/>
      <c r="K16" s="68"/>
      <c r="L16" s="69"/>
      <c r="M16" s="70"/>
      <c r="N16" s="45"/>
      <c r="O16" s="45"/>
      <c r="P16" s="45"/>
      <c r="Q16" s="5"/>
      <c r="R16" s="5"/>
      <c r="S16" s="5"/>
      <c r="T16" s="45"/>
      <c r="U16" s="45"/>
      <c r="V16" s="45"/>
      <c r="W16" s="102"/>
      <c r="X16" s="103"/>
      <c r="Y16" s="104"/>
      <c r="Z16" s="106"/>
      <c r="AA16" s="103"/>
      <c r="AB16" s="104"/>
      <c r="AC16" s="68"/>
      <c r="AD16" s="69"/>
      <c r="AE16" s="70"/>
      <c r="AF16" s="45"/>
      <c r="AG16" s="45"/>
      <c r="AH16" s="45"/>
      <c r="AK16" s="3"/>
    </row>
    <row r="17" spans="1:53" x14ac:dyDescent="0.45">
      <c r="A17" s="4"/>
      <c r="B17" s="45"/>
      <c r="C17" s="45"/>
      <c r="D17" s="45"/>
      <c r="E17" s="45"/>
      <c r="F17" s="45"/>
      <c r="G17" s="45"/>
      <c r="H17" s="45" t="s">
        <v>10</v>
      </c>
      <c r="I17" s="45"/>
      <c r="J17" s="45"/>
      <c r="K17" s="45"/>
      <c r="L17" s="45"/>
      <c r="M17" s="45"/>
      <c r="N17" s="45"/>
      <c r="O17" s="45"/>
      <c r="P17" s="45"/>
      <c r="Q17" s="5"/>
      <c r="R17" s="5"/>
      <c r="S17" s="5"/>
      <c r="T17" s="45"/>
      <c r="U17" s="45"/>
      <c r="V17" s="45"/>
      <c r="W17" s="45"/>
      <c r="X17" s="45"/>
      <c r="Y17" s="45"/>
      <c r="Z17" s="45" t="s">
        <v>10</v>
      </c>
      <c r="AA17" s="45"/>
      <c r="AB17" s="45"/>
      <c r="AC17" s="45"/>
      <c r="AD17" s="45"/>
      <c r="AE17" s="45"/>
      <c r="AF17" s="45"/>
      <c r="AG17" s="45"/>
      <c r="AH17" s="45"/>
      <c r="AK17" s="3"/>
    </row>
    <row r="18" spans="1:53" x14ac:dyDescent="0.45">
      <c r="A18" s="4"/>
      <c r="B18" s="45"/>
      <c r="C18" s="45"/>
      <c r="D18" s="45"/>
      <c r="E18" s="45"/>
      <c r="F18" s="45"/>
      <c r="G18" s="45"/>
      <c r="H18" s="45"/>
      <c r="I18" s="45"/>
      <c r="J18" s="45"/>
      <c r="K18" s="45"/>
      <c r="L18" s="45"/>
      <c r="M18" s="45"/>
      <c r="N18" s="45"/>
      <c r="O18" s="45"/>
      <c r="P18" s="45"/>
      <c r="Q18" s="5"/>
      <c r="R18" s="5"/>
      <c r="S18" s="5"/>
      <c r="T18" s="45"/>
      <c r="U18" s="45"/>
      <c r="V18" s="45"/>
      <c r="W18" s="45"/>
      <c r="X18" s="45"/>
      <c r="Y18" s="45"/>
      <c r="Z18" s="45"/>
      <c r="AA18" s="45"/>
      <c r="AB18" s="45"/>
      <c r="AC18" s="45"/>
      <c r="AD18" s="45"/>
      <c r="AE18" s="45"/>
      <c r="AF18" s="45"/>
      <c r="AG18" s="45"/>
      <c r="AH18" s="45"/>
      <c r="AK18" s="3"/>
    </row>
    <row r="19" spans="1:53" x14ac:dyDescent="0.45">
      <c r="A19" s="4"/>
      <c r="AK19" s="3"/>
    </row>
    <row r="20" spans="1:53" ht="14.65" thickBot="1" x14ac:dyDescent="0.5">
      <c r="A20" s="4"/>
      <c r="B20" s="93" t="s">
        <v>13</v>
      </c>
      <c r="C20" s="93"/>
      <c r="D20" s="93"/>
      <c r="E20" s="93"/>
      <c r="F20" s="93"/>
      <c r="G20" s="93"/>
      <c r="H20" s="93"/>
      <c r="I20" s="93"/>
      <c r="J20" s="93"/>
      <c r="N20" s="94" t="s">
        <v>14</v>
      </c>
      <c r="O20" s="94"/>
      <c r="P20" s="94"/>
      <c r="Q20" s="94"/>
      <c r="R20" s="94"/>
      <c r="S20" s="94"/>
      <c r="T20" s="94"/>
      <c r="U20" s="94"/>
      <c r="V20" s="94"/>
      <c r="Z20" s="95" t="s">
        <v>116</v>
      </c>
      <c r="AA20" s="95"/>
      <c r="AB20" s="95"/>
      <c r="AC20" s="95"/>
      <c r="AD20" s="95"/>
      <c r="AE20" s="95"/>
      <c r="AF20" s="95"/>
      <c r="AG20" s="95"/>
      <c r="AH20" s="95"/>
      <c r="AI20" s="95"/>
      <c r="AJ20" s="95"/>
      <c r="AK20" s="3"/>
    </row>
    <row r="21" spans="1:53" x14ac:dyDescent="0.45">
      <c r="A21" s="4"/>
      <c r="B21" s="90" t="s">
        <v>15</v>
      </c>
      <c r="C21" s="91"/>
      <c r="D21" s="91"/>
      <c r="E21" s="91"/>
      <c r="F21" s="91"/>
      <c r="G21" s="91"/>
      <c r="H21" s="91"/>
      <c r="I21" s="91"/>
      <c r="J21" s="92"/>
      <c r="K21" s="45"/>
      <c r="L21" s="45"/>
      <c r="M21" s="45"/>
      <c r="N21" s="45"/>
      <c r="O21" s="45"/>
      <c r="P21" s="45"/>
      <c r="Q21" s="45" t="s">
        <v>5</v>
      </c>
      <c r="R21" s="45"/>
      <c r="S21" s="45"/>
      <c r="T21" s="45"/>
      <c r="U21" s="45"/>
      <c r="V21" s="45"/>
      <c r="W21" s="45"/>
      <c r="X21" s="45"/>
      <c r="Y21" s="45"/>
      <c r="Z21" s="48" t="s">
        <v>16</v>
      </c>
      <c r="AA21" s="49"/>
      <c r="AB21" s="49"/>
      <c r="AC21" s="49"/>
      <c r="AD21" s="6" t="s">
        <v>17</v>
      </c>
      <c r="AE21" s="7"/>
      <c r="AF21" s="7"/>
      <c r="AG21" s="7"/>
      <c r="AH21" s="7"/>
      <c r="AI21" s="7"/>
      <c r="AJ21" s="8"/>
      <c r="AK21" s="3"/>
      <c r="AL21" t="s">
        <v>18</v>
      </c>
      <c r="AM21" t="s">
        <v>19</v>
      </c>
      <c r="AN21" t="s">
        <v>20</v>
      </c>
      <c r="AO21" t="s">
        <v>21</v>
      </c>
      <c r="AP21" t="s">
        <v>22</v>
      </c>
      <c r="AQ21" t="s">
        <v>23</v>
      </c>
      <c r="AR21" t="s">
        <v>24</v>
      </c>
      <c r="AS21" t="s">
        <v>25</v>
      </c>
      <c r="AT21" t="s">
        <v>26</v>
      </c>
      <c r="AU21" t="s">
        <v>27</v>
      </c>
      <c r="AV21" t="s">
        <v>28</v>
      </c>
      <c r="AW21" t="s">
        <v>29</v>
      </c>
      <c r="AX21" t="s">
        <v>30</v>
      </c>
      <c r="AY21" t="s">
        <v>31</v>
      </c>
      <c r="AZ21" t="s">
        <v>32</v>
      </c>
      <c r="BA21" t="s">
        <v>33</v>
      </c>
    </row>
    <row r="22" spans="1:53" x14ac:dyDescent="0.45">
      <c r="A22" s="4"/>
      <c r="B22" s="83" t="s">
        <v>34</v>
      </c>
      <c r="C22" s="84"/>
      <c r="D22" s="84"/>
      <c r="E22" s="84"/>
      <c r="F22" s="84"/>
      <c r="G22" s="84"/>
      <c r="H22" s="84"/>
      <c r="I22" s="84"/>
      <c r="J22" s="85"/>
      <c r="K22" s="45"/>
      <c r="L22" s="45"/>
      <c r="M22" s="45"/>
      <c r="N22" s="45"/>
      <c r="O22" s="45"/>
      <c r="P22" s="45"/>
      <c r="Q22" s="45"/>
      <c r="R22" s="45"/>
      <c r="S22" s="45"/>
      <c r="T22" s="45"/>
      <c r="U22" s="45"/>
      <c r="V22" s="45"/>
      <c r="W22" s="45"/>
      <c r="X22" s="45"/>
      <c r="Y22" s="45"/>
      <c r="Z22" s="48" t="s">
        <v>7</v>
      </c>
      <c r="AA22" s="49"/>
      <c r="AB22" s="49"/>
      <c r="AC22" s="49"/>
      <c r="AD22" s="9" t="s">
        <v>35</v>
      </c>
      <c r="AE22" s="10" t="s">
        <v>36</v>
      </c>
      <c r="AF22" s="10" t="s">
        <v>37</v>
      </c>
      <c r="AG22" s="10" t="s">
        <v>38</v>
      </c>
      <c r="AH22" s="10" t="s">
        <v>39</v>
      </c>
      <c r="AI22" s="10"/>
      <c r="AJ22" s="11"/>
      <c r="AK22" s="3"/>
    </row>
    <row r="23" spans="1:53" ht="14.65" thickBot="1" x14ac:dyDescent="0.5">
      <c r="A23" s="4"/>
      <c r="B23" s="83" t="s">
        <v>40</v>
      </c>
      <c r="C23" s="84"/>
      <c r="D23" s="84"/>
      <c r="E23" s="84"/>
      <c r="F23" s="84"/>
      <c r="G23" s="84"/>
      <c r="H23" s="84"/>
      <c r="I23" s="84"/>
      <c r="J23" s="85"/>
      <c r="K23" s="45"/>
      <c r="L23" s="45"/>
      <c r="M23" s="45"/>
      <c r="N23" s="45"/>
      <c r="O23" s="45"/>
      <c r="P23" s="45"/>
      <c r="Q23" s="45"/>
      <c r="R23" s="45"/>
      <c r="S23" s="45"/>
      <c r="T23" s="45"/>
      <c r="U23" s="45"/>
      <c r="V23" s="45"/>
      <c r="W23" s="45"/>
      <c r="X23" s="45"/>
      <c r="Y23" s="45"/>
      <c r="Z23" s="48" t="s">
        <v>9</v>
      </c>
      <c r="AA23" s="49"/>
      <c r="AB23" s="49"/>
      <c r="AC23" s="49"/>
      <c r="AD23" s="12" t="s">
        <v>41</v>
      </c>
      <c r="AE23" s="13" t="s">
        <v>42</v>
      </c>
      <c r="AF23" s="13" t="s">
        <v>43</v>
      </c>
      <c r="AG23" s="13" t="s">
        <v>44</v>
      </c>
      <c r="AH23" s="13" t="s">
        <v>45</v>
      </c>
      <c r="AI23" s="13"/>
      <c r="AJ23" s="14"/>
      <c r="AK23" s="3"/>
    </row>
    <row r="24" spans="1:53" x14ac:dyDescent="0.45">
      <c r="A24" s="4"/>
      <c r="B24" s="80" t="s">
        <v>46</v>
      </c>
      <c r="C24" s="81"/>
      <c r="D24" s="81"/>
      <c r="E24" s="81"/>
      <c r="F24" s="81"/>
      <c r="G24" s="81"/>
      <c r="H24" s="81"/>
      <c r="I24" s="81"/>
      <c r="J24" s="82"/>
      <c r="K24" s="45" t="s">
        <v>6</v>
      </c>
      <c r="L24" s="45"/>
      <c r="M24" s="45"/>
      <c r="N24" s="86" t="str">
        <f>E8&amp;","&amp;W8</f>
        <v>3,8</v>
      </c>
      <c r="O24" s="87"/>
      <c r="P24" s="88"/>
      <c r="Q24" s="87" t="str">
        <f>H8&amp;","&amp;Z8</f>
        <v>4,1</v>
      </c>
      <c r="R24" s="87"/>
      <c r="S24" s="88"/>
      <c r="T24" s="87" t="str">
        <f>K8&amp;","&amp;AC8</f>
        <v>5,2</v>
      </c>
      <c r="U24" s="87"/>
      <c r="V24" s="89"/>
      <c r="W24" s="45" t="s">
        <v>7</v>
      </c>
      <c r="X24" s="45"/>
      <c r="Y24" s="45"/>
      <c r="Z24" s="48" t="s">
        <v>12</v>
      </c>
      <c r="AA24" s="49"/>
      <c r="AB24" s="49"/>
      <c r="AC24" s="49"/>
      <c r="AD24" s="15" t="s">
        <v>47</v>
      </c>
      <c r="AE24" s="16" t="s">
        <v>48</v>
      </c>
      <c r="AF24" s="16" t="s">
        <v>49</v>
      </c>
      <c r="AG24" s="16" t="s">
        <v>50</v>
      </c>
      <c r="AH24" s="16" t="s">
        <v>51</v>
      </c>
      <c r="AI24" s="16"/>
      <c r="AJ24" s="17"/>
      <c r="AK24" s="3"/>
    </row>
    <row r="25" spans="1:53" x14ac:dyDescent="0.45">
      <c r="A25" s="4"/>
      <c r="B25" s="80" t="s">
        <v>52</v>
      </c>
      <c r="C25" s="81"/>
      <c r="D25" s="81"/>
      <c r="E25" s="81"/>
      <c r="F25" s="81"/>
      <c r="G25" s="81"/>
      <c r="H25" s="81"/>
      <c r="I25" s="81"/>
      <c r="J25" s="82"/>
      <c r="K25" s="45"/>
      <c r="L25" s="45"/>
      <c r="M25" s="45"/>
      <c r="N25" s="56"/>
      <c r="O25" s="57"/>
      <c r="P25" s="58"/>
      <c r="Q25" s="57"/>
      <c r="R25" s="57"/>
      <c r="S25" s="58"/>
      <c r="T25" s="57"/>
      <c r="U25" s="57"/>
      <c r="V25" s="78"/>
      <c r="W25" s="45"/>
      <c r="X25" s="45"/>
      <c r="Y25" s="45"/>
      <c r="Z25" s="48" t="s">
        <v>10</v>
      </c>
      <c r="AA25" s="49"/>
      <c r="AB25" s="49"/>
      <c r="AC25" s="49"/>
      <c r="AD25" s="18" t="s">
        <v>53</v>
      </c>
      <c r="AE25" s="19" t="s">
        <v>54</v>
      </c>
      <c r="AF25" s="19" t="s">
        <v>55</v>
      </c>
      <c r="AG25" s="19" t="s">
        <v>56</v>
      </c>
      <c r="AH25" s="19" t="s">
        <v>57</v>
      </c>
      <c r="AI25" s="19"/>
      <c r="AJ25" s="20"/>
      <c r="AK25" s="3"/>
      <c r="AO25">
        <f>IF(OR(LEFT($F$3,1)=$AL21,OR(LEFT($F$3,1)=$AM21,OR(LEFT($F$3,1)=$AN21,OR(LEFT($F$3,1)=$AO21,OR(LEFT($F$3,1)=AP21,OR(LEFT($F$3,1)=AQ21,OR(LEFT($F$3,1)=AR21,OR(LEFT($F$3,1)=AS21,OR(LEFT($F$3,1)=AT21,OR(LEFT($F$3,1)=AU21,OR(LEFT($F$3,1)=AV21,OR(LEFT($F$3,1)=AW21,OR(LEFT($F$3,1)=AX21,OR(LEFT($F$3,1)=AY21,OR(LEFT($F$3,1)=AZ21,LEFT($F$3,1)=BA21))))))))))))))),1,E8+1 )</f>
        <v>4</v>
      </c>
    </row>
    <row r="26" spans="1:53" x14ac:dyDescent="0.45">
      <c r="A26" s="4"/>
      <c r="B26" s="83" t="s">
        <v>58</v>
      </c>
      <c r="C26" s="84"/>
      <c r="D26" s="84"/>
      <c r="E26" s="84"/>
      <c r="F26" s="84"/>
      <c r="G26" s="84"/>
      <c r="H26" s="84"/>
      <c r="I26" s="84"/>
      <c r="J26" s="85"/>
      <c r="K26" s="45"/>
      <c r="L26" s="45"/>
      <c r="M26" s="45"/>
      <c r="N26" s="74"/>
      <c r="O26" s="75"/>
      <c r="P26" s="76"/>
      <c r="Q26" s="75"/>
      <c r="R26" s="75"/>
      <c r="S26" s="76"/>
      <c r="T26" s="75"/>
      <c r="U26" s="75"/>
      <c r="V26" s="79"/>
      <c r="W26" s="45"/>
      <c r="X26" s="45"/>
      <c r="Y26" s="45"/>
      <c r="Z26" s="48" t="s">
        <v>11</v>
      </c>
      <c r="AA26" s="49"/>
      <c r="AB26" s="49"/>
      <c r="AC26" s="49"/>
      <c r="AD26" s="21" t="s">
        <v>59</v>
      </c>
      <c r="AE26" s="22" t="s">
        <v>60</v>
      </c>
      <c r="AF26" s="22" t="s">
        <v>61</v>
      </c>
      <c r="AG26" s="22" t="s">
        <v>62</v>
      </c>
      <c r="AH26" s="22" t="s">
        <v>63</v>
      </c>
      <c r="AI26" s="22"/>
      <c r="AJ26" s="23"/>
      <c r="AK26" s="3"/>
    </row>
    <row r="27" spans="1:53" x14ac:dyDescent="0.45">
      <c r="A27" s="4"/>
      <c r="B27" s="71" t="s">
        <v>64</v>
      </c>
      <c r="C27" s="72"/>
      <c r="D27" s="72"/>
      <c r="E27" s="72"/>
      <c r="F27" s="72"/>
      <c r="G27" s="72"/>
      <c r="H27" s="72"/>
      <c r="I27" s="72"/>
      <c r="J27" s="73"/>
      <c r="K27" s="45" t="s">
        <v>8</v>
      </c>
      <c r="L27" s="45"/>
      <c r="M27" s="45"/>
      <c r="N27" s="56" t="str">
        <f>E11&amp;","&amp;W11</f>
        <v>2,7</v>
      </c>
      <c r="O27" s="57"/>
      <c r="P27" s="58"/>
      <c r="Q27" s="77"/>
      <c r="R27" s="77"/>
      <c r="S27" s="77"/>
      <c r="T27" s="57" t="str">
        <f>K11&amp;","&amp;AC11</f>
        <v>6,3</v>
      </c>
      <c r="U27" s="57"/>
      <c r="V27" s="78"/>
      <c r="W27" s="45" t="s">
        <v>9</v>
      </c>
      <c r="X27" s="45"/>
      <c r="Y27" s="45"/>
      <c r="Z27" s="48" t="s">
        <v>8</v>
      </c>
      <c r="AA27" s="49"/>
      <c r="AB27" s="49"/>
      <c r="AC27" s="49"/>
      <c r="AD27" s="24" t="s">
        <v>65</v>
      </c>
      <c r="AE27" s="25" t="s">
        <v>66</v>
      </c>
      <c r="AF27" s="25" t="s">
        <v>67</v>
      </c>
      <c r="AG27" s="25" t="s">
        <v>68</v>
      </c>
      <c r="AH27" s="25"/>
      <c r="AI27" s="25"/>
      <c r="AJ27" s="26"/>
      <c r="AK27" s="3"/>
    </row>
    <row r="28" spans="1:53" x14ac:dyDescent="0.45">
      <c r="A28" s="4"/>
      <c r="B28" s="50" t="s">
        <v>69</v>
      </c>
      <c r="C28" s="51"/>
      <c r="D28" s="51"/>
      <c r="E28" s="51"/>
      <c r="F28" s="51"/>
      <c r="G28" s="51"/>
      <c r="H28" s="51"/>
      <c r="I28" s="51"/>
      <c r="J28" s="52"/>
      <c r="K28" s="45"/>
      <c r="L28" s="45"/>
      <c r="M28" s="45"/>
      <c r="N28" s="56"/>
      <c r="O28" s="57"/>
      <c r="P28" s="58"/>
      <c r="Q28" s="77"/>
      <c r="R28" s="77"/>
      <c r="S28" s="77"/>
      <c r="T28" s="57"/>
      <c r="U28" s="57"/>
      <c r="V28" s="78"/>
      <c r="W28" s="45"/>
      <c r="X28" s="45"/>
      <c r="Y28" s="45"/>
      <c r="Z28" s="48" t="s">
        <v>6</v>
      </c>
      <c r="AA28" s="49"/>
      <c r="AB28" s="49"/>
      <c r="AC28" s="49"/>
      <c r="AD28" s="27" t="s">
        <v>70</v>
      </c>
      <c r="AE28" s="28" t="s">
        <v>71</v>
      </c>
      <c r="AF28" s="28" t="s">
        <v>72</v>
      </c>
      <c r="AG28" s="28" t="s">
        <v>73</v>
      </c>
      <c r="AH28" s="28" t="s">
        <v>74</v>
      </c>
      <c r="AI28" s="28" t="s">
        <v>75</v>
      </c>
      <c r="AJ28" s="29" t="s">
        <v>76</v>
      </c>
      <c r="AK28" s="3"/>
    </row>
    <row r="29" spans="1:53" ht="14.65" thickBot="1" x14ac:dyDescent="0.5">
      <c r="A29" s="4"/>
      <c r="B29" s="53" t="s">
        <v>77</v>
      </c>
      <c r="C29" s="54"/>
      <c r="D29" s="54"/>
      <c r="E29" s="54"/>
      <c r="F29" s="54"/>
      <c r="G29" s="54"/>
      <c r="H29" s="54"/>
      <c r="I29" s="54"/>
      <c r="J29" s="55"/>
      <c r="K29" s="45"/>
      <c r="L29" s="45"/>
      <c r="M29" s="45"/>
      <c r="N29" s="74"/>
      <c r="O29" s="75"/>
      <c r="P29" s="76"/>
      <c r="Q29" s="77"/>
      <c r="R29" s="77"/>
      <c r="S29" s="77"/>
      <c r="T29" s="75"/>
      <c r="U29" s="75"/>
      <c r="V29" s="79"/>
      <c r="W29" s="45"/>
      <c r="X29" s="45"/>
      <c r="Y29" s="45"/>
      <c r="AK29" s="3"/>
    </row>
    <row r="30" spans="1:53" x14ac:dyDescent="0.45">
      <c r="A30" s="4"/>
      <c r="K30" s="45" t="s">
        <v>11</v>
      </c>
      <c r="L30" s="45"/>
      <c r="M30" s="45"/>
      <c r="N30" s="56" t="str">
        <f>E14&amp;","&amp;W14</f>
        <v>1,6</v>
      </c>
      <c r="O30" s="57"/>
      <c r="P30" s="58"/>
      <c r="Q30" s="57" t="str">
        <f>H14&amp;","&amp;Z14</f>
        <v>8,5</v>
      </c>
      <c r="R30" s="57"/>
      <c r="S30" s="58"/>
      <c r="T30" s="62" t="str">
        <f>K14&amp;","&amp;AC14</f>
        <v>7,4</v>
      </c>
      <c r="U30" s="63"/>
      <c r="V30" s="64"/>
      <c r="W30" s="45" t="s">
        <v>12</v>
      </c>
      <c r="X30" s="45"/>
      <c r="Y30" s="45"/>
      <c r="Z30" s="44" t="s">
        <v>112</v>
      </c>
      <c r="AA30" s="44"/>
      <c r="AB30" s="44"/>
      <c r="AC30" s="44"/>
      <c r="AD30" s="44" t="s">
        <v>10</v>
      </c>
      <c r="AE30" s="44"/>
      <c r="AF30" s="44"/>
      <c r="AG30" s="44"/>
      <c r="AH30" s="44"/>
      <c r="AI30" s="44"/>
      <c r="AJ30" s="44"/>
      <c r="AK30" s="3"/>
    </row>
    <row r="31" spans="1:53" x14ac:dyDescent="0.45">
      <c r="A31" s="4"/>
      <c r="K31" s="45"/>
      <c r="L31" s="45"/>
      <c r="M31" s="45"/>
      <c r="N31" s="56"/>
      <c r="O31" s="57"/>
      <c r="P31" s="58"/>
      <c r="Q31" s="57"/>
      <c r="R31" s="57"/>
      <c r="S31" s="58"/>
      <c r="T31" s="65"/>
      <c r="U31" s="66"/>
      <c r="V31" s="67"/>
      <c r="W31" s="45"/>
      <c r="X31" s="45"/>
      <c r="Y31" s="45"/>
      <c r="Z31" s="44" t="s">
        <v>113</v>
      </c>
      <c r="AA31" s="44"/>
      <c r="AB31" s="44"/>
      <c r="AC31" s="44"/>
      <c r="AD31" s="44" t="s">
        <v>8</v>
      </c>
      <c r="AE31" s="44"/>
      <c r="AF31" s="44"/>
      <c r="AG31" s="44"/>
      <c r="AH31" s="44"/>
      <c r="AI31" s="44"/>
      <c r="AJ31" s="44"/>
      <c r="AK31" s="3"/>
    </row>
    <row r="32" spans="1:53" ht="14.65" thickBot="1" x14ac:dyDescent="0.5">
      <c r="A32" s="4"/>
      <c r="K32" s="45"/>
      <c r="L32" s="45"/>
      <c r="M32" s="45"/>
      <c r="N32" s="59"/>
      <c r="O32" s="60"/>
      <c r="P32" s="61"/>
      <c r="Q32" s="60"/>
      <c r="R32" s="60"/>
      <c r="S32" s="61"/>
      <c r="T32" s="68"/>
      <c r="U32" s="69"/>
      <c r="V32" s="70"/>
      <c r="W32" s="45"/>
      <c r="X32" s="45"/>
      <c r="Y32" s="45"/>
      <c r="Z32" s="44" t="s">
        <v>114</v>
      </c>
      <c r="AA32" s="44"/>
      <c r="AB32" s="44"/>
      <c r="AC32" s="44"/>
      <c r="AD32" s="44"/>
      <c r="AE32" s="44"/>
      <c r="AF32" s="44"/>
      <c r="AG32" s="44"/>
      <c r="AH32" s="44"/>
      <c r="AI32" s="44"/>
      <c r="AJ32" s="44"/>
      <c r="AK32" s="3"/>
    </row>
    <row r="33" spans="1:37" x14ac:dyDescent="0.45">
      <c r="A33" s="4"/>
      <c r="K33" s="33"/>
      <c r="L33" s="33"/>
      <c r="M33" s="33"/>
      <c r="N33" s="47"/>
      <c r="O33" s="47"/>
      <c r="P33" s="47"/>
      <c r="Q33" s="47" t="s">
        <v>10</v>
      </c>
      <c r="R33" s="47"/>
      <c r="S33" s="47"/>
      <c r="T33" s="47"/>
      <c r="U33" s="47"/>
      <c r="V33" s="47"/>
      <c r="W33" s="45"/>
      <c r="X33" s="45"/>
      <c r="Y33" s="45"/>
      <c r="Z33" s="44" t="s">
        <v>115</v>
      </c>
      <c r="AA33" s="44"/>
      <c r="AB33" s="44"/>
      <c r="AC33" s="44"/>
      <c r="AD33" s="44"/>
      <c r="AE33" s="44"/>
      <c r="AF33" s="44"/>
      <c r="AG33" s="44"/>
      <c r="AH33" s="44"/>
      <c r="AI33" s="44"/>
      <c r="AJ33" s="44"/>
      <c r="AK33" s="3"/>
    </row>
    <row r="34" spans="1:37" x14ac:dyDescent="0.45">
      <c r="A34" s="4"/>
      <c r="K34" s="33"/>
      <c r="L34" s="33"/>
      <c r="M34" s="33"/>
      <c r="N34" s="45"/>
      <c r="O34" s="45"/>
      <c r="P34" s="45"/>
      <c r="Q34" s="45"/>
      <c r="R34" s="45"/>
      <c r="S34" s="45"/>
      <c r="T34" s="45"/>
      <c r="U34" s="45"/>
      <c r="V34" s="45"/>
      <c r="W34" s="45"/>
      <c r="X34" s="45"/>
      <c r="Y34" s="45"/>
      <c r="AK34" s="3"/>
    </row>
    <row r="35" spans="1:37" ht="14.65" thickBot="1" x14ac:dyDescent="0.5">
      <c r="A35" s="30"/>
      <c r="B35" s="31"/>
      <c r="C35" s="31"/>
      <c r="D35" s="31"/>
      <c r="E35" s="31"/>
      <c r="F35" s="31"/>
      <c r="G35" s="31"/>
      <c r="H35" s="31"/>
      <c r="I35" s="31"/>
      <c r="J35" s="31"/>
      <c r="K35" s="34"/>
      <c r="L35" s="34"/>
      <c r="M35" s="34"/>
      <c r="N35" s="46"/>
      <c r="O35" s="46"/>
      <c r="P35" s="46"/>
      <c r="Q35" s="46"/>
      <c r="R35" s="46"/>
      <c r="S35" s="46"/>
      <c r="T35" s="46"/>
      <c r="U35" s="46"/>
      <c r="V35" s="46"/>
      <c r="W35" s="46"/>
      <c r="X35" s="46"/>
      <c r="Y35" s="46"/>
      <c r="Z35" s="31"/>
      <c r="AA35" s="31"/>
      <c r="AB35" s="31"/>
      <c r="AC35" s="31"/>
      <c r="AD35" s="31"/>
      <c r="AE35" s="31"/>
      <c r="AF35" s="31"/>
      <c r="AG35" s="31"/>
      <c r="AH35" s="31"/>
      <c r="AI35" s="31"/>
      <c r="AJ35" s="31"/>
      <c r="AK35" s="32"/>
    </row>
  </sheetData>
  <sheetProtection algorithmName="SHA-512" hashValue="7eDnnIUTbx8crNGaSV7MtmoEN7uKZhZYchi/UoA0SIGraLjaIWfTh0Ixq/P+Fgs78KzYbuO8K104QupGZjmVnw==" saltValue="tiCTU9MyafjZhvgLPWw4PA==" spinCount="100000" sheet="1" selectLockedCells="1"/>
  <mergeCells count="109">
    <mergeCell ref="B5:D7"/>
    <mergeCell ref="E5:G7"/>
    <mergeCell ref="H5:J7"/>
    <mergeCell ref="K5:M7"/>
    <mergeCell ref="N5:P7"/>
    <mergeCell ref="T5:V7"/>
    <mergeCell ref="A1:AK1"/>
    <mergeCell ref="B3:E3"/>
    <mergeCell ref="F3:P3"/>
    <mergeCell ref="T3:W3"/>
    <mergeCell ref="X3:AH3"/>
    <mergeCell ref="B4:P4"/>
    <mergeCell ref="T4:AH4"/>
    <mergeCell ref="W5:Y7"/>
    <mergeCell ref="Z5:AB7"/>
    <mergeCell ref="AC5:AE7"/>
    <mergeCell ref="AF5:AH7"/>
    <mergeCell ref="W8:Y10"/>
    <mergeCell ref="Z8:AB10"/>
    <mergeCell ref="AC8:AE10"/>
    <mergeCell ref="AF8:AH10"/>
    <mergeCell ref="B11:D13"/>
    <mergeCell ref="E11:G13"/>
    <mergeCell ref="H11:J13"/>
    <mergeCell ref="K11:M13"/>
    <mergeCell ref="N11:P13"/>
    <mergeCell ref="T11:V13"/>
    <mergeCell ref="W11:Y13"/>
    <mergeCell ref="Z11:AB13"/>
    <mergeCell ref="AC11:AE13"/>
    <mergeCell ref="AF11:AH13"/>
    <mergeCell ref="B8:D10"/>
    <mergeCell ref="E8:G10"/>
    <mergeCell ref="H8:J10"/>
    <mergeCell ref="K8:M10"/>
    <mergeCell ref="N8:P10"/>
    <mergeCell ref="T8:V10"/>
    <mergeCell ref="AF17:AH18"/>
    <mergeCell ref="B20:J20"/>
    <mergeCell ref="N20:V20"/>
    <mergeCell ref="Z20:AJ20"/>
    <mergeCell ref="W14:Y16"/>
    <mergeCell ref="Z14:AB16"/>
    <mergeCell ref="AC14:AE16"/>
    <mergeCell ref="AF14:AH16"/>
    <mergeCell ref="B17:D18"/>
    <mergeCell ref="E17:G18"/>
    <mergeCell ref="H17:J18"/>
    <mergeCell ref="K17:M18"/>
    <mergeCell ref="N17:P18"/>
    <mergeCell ref="T17:V18"/>
    <mergeCell ref="B14:D16"/>
    <mergeCell ref="E14:G16"/>
    <mergeCell ref="H14:J16"/>
    <mergeCell ref="K14:M16"/>
    <mergeCell ref="N14:P16"/>
    <mergeCell ref="T14:V16"/>
    <mergeCell ref="W17:Y18"/>
    <mergeCell ref="Z17:AB18"/>
    <mergeCell ref="AC17:AE18"/>
    <mergeCell ref="W24:Y26"/>
    <mergeCell ref="Z24:AC24"/>
    <mergeCell ref="B25:J25"/>
    <mergeCell ref="Z25:AC25"/>
    <mergeCell ref="B26:J26"/>
    <mergeCell ref="Z26:AC26"/>
    <mergeCell ref="Z21:AC21"/>
    <mergeCell ref="B22:J22"/>
    <mergeCell ref="Z22:AC22"/>
    <mergeCell ref="B23:J23"/>
    <mergeCell ref="Z23:AC23"/>
    <mergeCell ref="B24:J24"/>
    <mergeCell ref="K24:M26"/>
    <mergeCell ref="N24:P26"/>
    <mergeCell ref="Q24:S26"/>
    <mergeCell ref="T24:V26"/>
    <mergeCell ref="B21:J21"/>
    <mergeCell ref="K21:M23"/>
    <mergeCell ref="N21:P23"/>
    <mergeCell ref="Q21:S23"/>
    <mergeCell ref="T21:V23"/>
    <mergeCell ref="W21:Y23"/>
    <mergeCell ref="Z27:AC27"/>
    <mergeCell ref="B28:J28"/>
    <mergeCell ref="Z28:AC28"/>
    <mergeCell ref="B29:J29"/>
    <mergeCell ref="K30:M32"/>
    <mergeCell ref="N30:P32"/>
    <mergeCell ref="Q30:S32"/>
    <mergeCell ref="T30:V32"/>
    <mergeCell ref="W30:Y32"/>
    <mergeCell ref="Z30:AC30"/>
    <mergeCell ref="B27:J27"/>
    <mergeCell ref="K27:M29"/>
    <mergeCell ref="N27:P29"/>
    <mergeCell ref="Q27:S29"/>
    <mergeCell ref="T27:V29"/>
    <mergeCell ref="W27:Y29"/>
    <mergeCell ref="AD30:AJ30"/>
    <mergeCell ref="Z31:AC31"/>
    <mergeCell ref="AD31:AJ31"/>
    <mergeCell ref="Z32:AC32"/>
    <mergeCell ref="AD32:AJ32"/>
    <mergeCell ref="W33:Y35"/>
    <mergeCell ref="N33:P35"/>
    <mergeCell ref="Q33:S35"/>
    <mergeCell ref="T33:V35"/>
    <mergeCell ref="Z33:AC33"/>
    <mergeCell ref="AD33:AJ33"/>
  </mergeCells>
  <conditionalFormatting sqref="E8">
    <cfRule type="cellIs" dxfId="90" priority="87" operator="equal">
      <formula>7</formula>
    </cfRule>
    <cfRule type="cellIs" dxfId="89" priority="91" operator="lessThan">
      <formula>4</formula>
    </cfRule>
    <cfRule type="cellIs" dxfId="88" priority="88" operator="equal">
      <formula>6</formula>
    </cfRule>
    <cfRule type="cellIs" dxfId="87" priority="89" operator="equal">
      <formula>8</formula>
    </cfRule>
    <cfRule type="cellIs" dxfId="86" priority="90" operator="between">
      <formula>4</formula>
      <formula>5</formula>
    </cfRule>
  </conditionalFormatting>
  <conditionalFormatting sqref="E11">
    <cfRule type="cellIs" dxfId="85" priority="69" operator="equal">
      <formula>8</formula>
    </cfRule>
    <cfRule type="cellIs" dxfId="84" priority="67" operator="equal">
      <formula>7</formula>
    </cfRule>
    <cfRule type="cellIs" dxfId="83" priority="68" operator="equal">
      <formula>6</formula>
    </cfRule>
    <cfRule type="cellIs" dxfId="82" priority="70" operator="between">
      <formula>4</formula>
      <formula>5</formula>
    </cfRule>
    <cfRule type="cellIs" dxfId="81" priority="71" operator="lessThan">
      <formula>4</formula>
    </cfRule>
  </conditionalFormatting>
  <conditionalFormatting sqref="E14">
    <cfRule type="cellIs" dxfId="80" priority="60" operator="between">
      <formula>4</formula>
      <formula>5</formula>
    </cfRule>
    <cfRule type="cellIs" dxfId="79" priority="61" operator="lessThan">
      <formula>4</formula>
    </cfRule>
    <cfRule type="cellIs" dxfId="78" priority="59" operator="equal">
      <formula>8</formula>
    </cfRule>
    <cfRule type="cellIs" dxfId="77" priority="58" operator="equal">
      <formula>6</formula>
    </cfRule>
    <cfRule type="cellIs" dxfId="76" priority="57" operator="equal">
      <formula>7</formula>
    </cfRule>
  </conditionalFormatting>
  <conditionalFormatting sqref="H8">
    <cfRule type="cellIs" dxfId="75" priority="86" operator="lessThan">
      <formula>4</formula>
    </cfRule>
    <cfRule type="cellIs" dxfId="74" priority="84" operator="equal">
      <formula>8</formula>
    </cfRule>
    <cfRule type="cellIs" dxfId="73" priority="83" operator="equal">
      <formula>6</formula>
    </cfRule>
    <cfRule type="cellIs" dxfId="72" priority="82" operator="equal">
      <formula>7</formula>
    </cfRule>
    <cfRule type="cellIs" dxfId="71" priority="85" operator="between">
      <formula>4</formula>
      <formula>5</formula>
    </cfRule>
  </conditionalFormatting>
  <conditionalFormatting sqref="H14">
    <cfRule type="cellIs" dxfId="70" priority="75" operator="between">
      <formula>4</formula>
      <formula>5</formula>
    </cfRule>
    <cfRule type="cellIs" dxfId="69" priority="72" operator="equal">
      <formula>7</formula>
    </cfRule>
    <cfRule type="cellIs" dxfId="68" priority="73" operator="equal">
      <formula>6</formula>
    </cfRule>
    <cfRule type="cellIs" dxfId="67" priority="74" operator="equal">
      <formula>8</formula>
    </cfRule>
    <cfRule type="cellIs" dxfId="66" priority="76" operator="lessThan">
      <formula>4</formula>
    </cfRule>
  </conditionalFormatting>
  <conditionalFormatting sqref="K8">
    <cfRule type="cellIs" dxfId="65" priority="77" operator="equal">
      <formula>7</formula>
    </cfRule>
    <cfRule type="cellIs" dxfId="64" priority="80" operator="between">
      <formula>4</formula>
      <formula>5</formula>
    </cfRule>
    <cfRule type="cellIs" dxfId="63" priority="81" operator="lessThan">
      <formula>4</formula>
    </cfRule>
    <cfRule type="cellIs" dxfId="62" priority="79" operator="equal">
      <formula>8</formula>
    </cfRule>
    <cfRule type="cellIs" dxfId="61" priority="78" operator="equal">
      <formula>6</formula>
    </cfRule>
  </conditionalFormatting>
  <conditionalFormatting sqref="K11">
    <cfRule type="cellIs" dxfId="60" priority="66" operator="lessThan">
      <formula>4</formula>
    </cfRule>
    <cfRule type="cellIs" dxfId="59" priority="65" operator="between">
      <formula>4</formula>
      <formula>5</formula>
    </cfRule>
    <cfRule type="cellIs" dxfId="58" priority="64" operator="equal">
      <formula>8</formula>
    </cfRule>
    <cfRule type="cellIs" dxfId="57" priority="63" operator="equal">
      <formula>6</formula>
    </cfRule>
    <cfRule type="cellIs" dxfId="56" priority="62" operator="equal">
      <formula>7</formula>
    </cfRule>
  </conditionalFormatting>
  <conditionalFormatting sqref="N24">
    <cfRule type="expression" dxfId="55" priority="21">
      <formula>OR(LEFT(N24,1)="4",RIGHT(N24,1)="4")</formula>
    </cfRule>
    <cfRule type="expression" dxfId="54" priority="20">
      <formula>OR(LEFT(N24,1)="5",RIGHT(N24,1)="5")</formula>
    </cfRule>
    <cfRule type="expression" dxfId="53" priority="19">
      <formula>OR(LEFT(N24,1)="8",RIGHT(N24,1)="8")</formula>
    </cfRule>
  </conditionalFormatting>
  <conditionalFormatting sqref="N27">
    <cfRule type="expression" dxfId="52" priority="3">
      <formula>OR(LEFT(N27,1)="4",RIGHT(N27,1)="4")</formula>
    </cfRule>
    <cfRule type="expression" dxfId="51" priority="2">
      <formula>OR(LEFT(N27,1)="5",RIGHT(N27,1)="5")</formula>
    </cfRule>
    <cfRule type="expression" dxfId="50" priority="1">
      <formula>OR(LEFT(N27,1)="8",RIGHT(N27,1)="8")</formula>
    </cfRule>
  </conditionalFormatting>
  <conditionalFormatting sqref="N30">
    <cfRule type="expression" dxfId="49" priority="6">
      <formula>OR(LEFT(N30,1)="4",RIGHT(N30,1)="4")</formula>
    </cfRule>
    <cfRule type="expression" dxfId="48" priority="5">
      <formula>OR(LEFT(N30,1)="5",RIGHT(N30,1)="5")</formula>
    </cfRule>
    <cfRule type="expression" dxfId="47" priority="4">
      <formula>OR(LEFT(N30,1)="8",RIGHT(N30,1)="8")</formula>
    </cfRule>
  </conditionalFormatting>
  <conditionalFormatting sqref="Q24">
    <cfRule type="expression" dxfId="46" priority="17">
      <formula>OR(LEFT(Q24,1)="5",RIGHT(Q24,1)="5")</formula>
    </cfRule>
    <cfRule type="expression" dxfId="45" priority="16">
      <formula>OR(LEFT(Q24,1)="8",RIGHT(Q24,1)="8")</formula>
    </cfRule>
    <cfRule type="expression" dxfId="44" priority="18">
      <formula>OR(LEFT(Q24,1)="4",RIGHT(Q24,1)="4")</formula>
    </cfRule>
  </conditionalFormatting>
  <conditionalFormatting sqref="Q30">
    <cfRule type="expression" dxfId="43" priority="9">
      <formula>OR(LEFT(Q30,1)="4",RIGHT(Q30,1)="4")</formula>
    </cfRule>
    <cfRule type="expression" dxfId="42" priority="8">
      <formula>OR(LEFT(Q30,1)="5",RIGHT(Q30,1)="5")</formula>
    </cfRule>
    <cfRule type="expression" dxfId="41" priority="7">
      <formula>OR(LEFT(Q30,1)="8",RIGHT(Q30,1)="8")</formula>
    </cfRule>
  </conditionalFormatting>
  <conditionalFormatting sqref="T24">
    <cfRule type="expression" dxfId="40" priority="15">
      <formula>OR(LEFT(T24,1)="4",RIGHT(T24,1)="4")</formula>
    </cfRule>
    <cfRule type="expression" dxfId="39" priority="14">
      <formula>OR(LEFT(T24,1)="5",RIGHT(T24,1)="5")</formula>
    </cfRule>
    <cfRule type="expression" dxfId="38" priority="13">
      <formula>OR(LEFT(T24,1)="8",RIGHT(T24,1)="8")</formula>
    </cfRule>
  </conditionalFormatting>
  <conditionalFormatting sqref="T27">
    <cfRule type="expression" dxfId="37" priority="11">
      <formula>OR(LEFT(T27,1)="5",RIGHT(T27,1)="5")</formula>
    </cfRule>
    <cfRule type="expression" dxfId="36" priority="12">
      <formula>OR(LEFT(T27,1)="4",RIGHT(T27,1)="4")</formula>
    </cfRule>
    <cfRule type="expression" dxfId="35" priority="10">
      <formula>OR(LEFT(T27,1)="8",RIGHT(T27,1)="8")</formula>
    </cfRule>
  </conditionalFormatting>
  <conditionalFormatting sqref="W8">
    <cfRule type="cellIs" dxfId="34" priority="56" operator="lessThan">
      <formula>4</formula>
    </cfRule>
    <cfRule type="cellIs" dxfId="33" priority="52" operator="equal">
      <formula>7</formula>
    </cfRule>
    <cfRule type="cellIs" dxfId="32" priority="53" operator="equal">
      <formula>6</formula>
    </cfRule>
    <cfRule type="cellIs" dxfId="31" priority="54" operator="equal">
      <formula>8</formula>
    </cfRule>
    <cfRule type="cellIs" dxfId="30" priority="55" operator="between">
      <formula>4</formula>
      <formula>5</formula>
    </cfRule>
  </conditionalFormatting>
  <conditionalFormatting sqref="W11">
    <cfRule type="cellIs" dxfId="29" priority="32" operator="equal">
      <formula>7</formula>
    </cfRule>
    <cfRule type="cellIs" dxfId="28" priority="36" operator="lessThan">
      <formula>4</formula>
    </cfRule>
    <cfRule type="cellIs" dxfId="27" priority="34" operator="equal">
      <formula>8</formula>
    </cfRule>
    <cfRule type="cellIs" dxfId="26" priority="33" operator="equal">
      <formula>6</formula>
    </cfRule>
    <cfRule type="cellIs" dxfId="25" priority="35" operator="between">
      <formula>4</formula>
      <formula>5</formula>
    </cfRule>
  </conditionalFormatting>
  <conditionalFormatting sqref="W14">
    <cfRule type="cellIs" dxfId="24" priority="24" operator="equal">
      <formula>8</formula>
    </cfRule>
    <cfRule type="cellIs" dxfId="23" priority="25" operator="between">
      <formula>4</formula>
      <formula>5</formula>
    </cfRule>
    <cfRule type="cellIs" dxfId="22" priority="26" operator="lessThan">
      <formula>4</formula>
    </cfRule>
    <cfRule type="cellIs" dxfId="21" priority="23" operator="equal">
      <formula>6</formula>
    </cfRule>
    <cfRule type="cellIs" dxfId="20" priority="22" operator="equal">
      <formula>7</formula>
    </cfRule>
  </conditionalFormatting>
  <conditionalFormatting sqref="Z8">
    <cfRule type="cellIs" dxfId="19" priority="47" operator="equal">
      <formula>7</formula>
    </cfRule>
    <cfRule type="cellIs" dxfId="18" priority="48" operator="equal">
      <formula>6</formula>
    </cfRule>
    <cfRule type="cellIs" dxfId="17" priority="49" operator="equal">
      <formula>8</formula>
    </cfRule>
    <cfRule type="cellIs" dxfId="16" priority="50" operator="between">
      <formula>4</formula>
      <formula>5</formula>
    </cfRule>
    <cfRule type="cellIs" dxfId="15" priority="51" operator="lessThan">
      <formula>4</formula>
    </cfRule>
  </conditionalFormatting>
  <conditionalFormatting sqref="Z14">
    <cfRule type="cellIs" dxfId="14" priority="41" operator="lessThan">
      <formula>4</formula>
    </cfRule>
    <cfRule type="cellIs" dxfId="13" priority="40" operator="between">
      <formula>4</formula>
      <formula>5</formula>
    </cfRule>
    <cfRule type="cellIs" dxfId="12" priority="39" operator="equal">
      <formula>8</formula>
    </cfRule>
    <cfRule type="cellIs" dxfId="11" priority="38" operator="equal">
      <formula>6</formula>
    </cfRule>
    <cfRule type="cellIs" dxfId="10" priority="37" operator="equal">
      <formula>7</formula>
    </cfRule>
  </conditionalFormatting>
  <conditionalFormatting sqref="AC8">
    <cfRule type="cellIs" dxfId="9" priority="43" operator="equal">
      <formula>6</formula>
    </cfRule>
    <cfRule type="cellIs" dxfId="8" priority="42" operator="equal">
      <formula>7</formula>
    </cfRule>
    <cfRule type="cellIs" dxfId="7" priority="46" operator="lessThan">
      <formula>4</formula>
    </cfRule>
    <cfRule type="cellIs" dxfId="6" priority="45" operator="between">
      <formula>4</formula>
      <formula>5</formula>
    </cfRule>
    <cfRule type="cellIs" dxfId="5" priority="44" operator="equal">
      <formula>8</formula>
    </cfRule>
  </conditionalFormatting>
  <conditionalFormatting sqref="AC11">
    <cfRule type="cellIs" dxfId="4" priority="27" operator="equal">
      <formula>7</formula>
    </cfRule>
    <cfRule type="cellIs" dxfId="3" priority="29" operator="equal">
      <formula>8</formula>
    </cfRule>
    <cfRule type="cellIs" dxfId="2" priority="30" operator="between">
      <formula>4</formula>
      <formula>5</formula>
    </cfRule>
    <cfRule type="cellIs" dxfId="1" priority="31" operator="lessThan">
      <formula>4</formula>
    </cfRule>
    <cfRule type="cellIs" dxfId="0" priority="28" operator="equal">
      <formula>6</formula>
    </cfRule>
  </conditionalFormatting>
  <dataValidations count="1">
    <dataValidation type="list" allowBlank="1" showInputMessage="1" showErrorMessage="1" sqref="AD30:AJ33" xr:uid="{CF58D003-AC3C-40CB-AE7B-A054606E63F8}">
      <formula1>$BF$9:$BF$15</formula1>
    </dataValidation>
  </dataValidations>
  <pageMargins left="0.7" right="0.7" top="0.75" bottom="0.65" header="0.3" footer="0.3"/>
  <pageSetup scale="95" orientation="landscape" r:id="rId1"/>
  <headerFooter>
    <oddHeader>&amp;Cడా. నాగేశ్వర రావు జయంతి, జ్యోతిష్య శిఖామణి,  జ్యోతిష్య ప్రముఖ్ గారి ఆశీస్సులతో
ప్లాట్ # 3/3 ఇంటి నెంబర్ 2-3-364/7 రోడ్డు నెంబర్ 7, హైదరాబాద్ 500068  +91 9849983322 nageswararao.jayanthi@gmail.com</oddHeader>
    <oddFooter>&amp;Lశ్రీ మహాగణపతి జ్యోతిష్య విధ్యార్ధుల పరిశ్రమ
mpds2108@gmail.com&amp;RSource: లంకా సహోదరులు</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D3445-3C5B-400D-9E54-B87BF8A0DF45}">
  <dimension ref="A2:A76"/>
  <sheetViews>
    <sheetView workbookViewId="0"/>
  </sheetViews>
  <sheetFormatPr defaultRowHeight="14.25" x14ac:dyDescent="0.45"/>
  <sheetData>
    <row r="2" spans="1:1" x14ac:dyDescent="0.45">
      <c r="A2" s="43" t="s">
        <v>111</v>
      </c>
    </row>
    <row r="11" spans="1:1" ht="70.5" x14ac:dyDescent="0.45">
      <c r="A11" s="35" t="s">
        <v>78</v>
      </c>
    </row>
    <row r="12" spans="1:1" x14ac:dyDescent="0.45">
      <c r="A12" t="s">
        <v>79</v>
      </c>
    </row>
    <row r="14" spans="1:1" ht="24.75" x14ac:dyDescent="0.45">
      <c r="A14" s="36" t="s">
        <v>80</v>
      </c>
    </row>
    <row r="16" spans="1:1" ht="24.75" x14ac:dyDescent="0.45">
      <c r="A16" s="36" t="s">
        <v>81</v>
      </c>
    </row>
    <row r="18" spans="1:1" ht="24.75" x14ac:dyDescent="0.45">
      <c r="A18" s="36" t="s">
        <v>82</v>
      </c>
    </row>
    <row r="20" spans="1:1" ht="46.15" x14ac:dyDescent="0.45">
      <c r="A20" s="37" t="s">
        <v>83</v>
      </c>
    </row>
    <row r="21" spans="1:1" x14ac:dyDescent="0.45">
      <c r="A21" s="38"/>
    </row>
    <row r="22" spans="1:1" ht="16.5" x14ac:dyDescent="0.45">
      <c r="A22" s="39" t="s">
        <v>84</v>
      </c>
    </row>
    <row r="23" spans="1:1" x14ac:dyDescent="0.45">
      <c r="A23" s="38"/>
    </row>
    <row r="24" spans="1:1" ht="16.5" x14ac:dyDescent="0.45">
      <c r="A24" s="39" t="s">
        <v>85</v>
      </c>
    </row>
    <row r="25" spans="1:1" x14ac:dyDescent="0.45">
      <c r="A25" s="38"/>
    </row>
    <row r="26" spans="1:1" ht="16.5" x14ac:dyDescent="0.45">
      <c r="A26" s="39" t="s">
        <v>86</v>
      </c>
    </row>
    <row r="27" spans="1:1" x14ac:dyDescent="0.45">
      <c r="A27" s="38"/>
    </row>
    <row r="28" spans="1:1" ht="16.5" x14ac:dyDescent="0.45">
      <c r="A28" s="39" t="s">
        <v>87</v>
      </c>
    </row>
    <row r="29" spans="1:1" x14ac:dyDescent="0.45">
      <c r="A29" s="38"/>
    </row>
    <row r="30" spans="1:1" ht="16.5" x14ac:dyDescent="0.45">
      <c r="A30" s="39" t="s">
        <v>88</v>
      </c>
    </row>
    <row r="32" spans="1:1" ht="46.15" x14ac:dyDescent="0.45">
      <c r="A32" s="37" t="s">
        <v>89</v>
      </c>
    </row>
    <row r="34" spans="1:1" ht="24.75" x14ac:dyDescent="0.45">
      <c r="A34" s="36" t="s">
        <v>90</v>
      </c>
    </row>
    <row r="36" spans="1:1" ht="24.75" x14ac:dyDescent="0.45">
      <c r="A36" s="36" t="s">
        <v>91</v>
      </c>
    </row>
    <row r="37" spans="1:1" x14ac:dyDescent="0.45">
      <c r="A37" s="38"/>
    </row>
    <row r="38" spans="1:1" x14ac:dyDescent="0.45">
      <c r="A38" s="40" t="s">
        <v>92</v>
      </c>
    </row>
    <row r="39" spans="1:1" x14ac:dyDescent="0.45">
      <c r="A39" s="38"/>
    </row>
    <row r="40" spans="1:1" x14ac:dyDescent="0.45">
      <c r="A40" s="40" t="s">
        <v>93</v>
      </c>
    </row>
    <row r="41" spans="1:1" x14ac:dyDescent="0.45">
      <c r="A41" s="38"/>
    </row>
    <row r="42" spans="1:1" x14ac:dyDescent="0.45">
      <c r="A42" s="40" t="s">
        <v>94</v>
      </c>
    </row>
    <row r="44" spans="1:1" ht="24.75" x14ac:dyDescent="0.45">
      <c r="A44" s="36" t="s">
        <v>95</v>
      </c>
    </row>
    <row r="45" spans="1:1" x14ac:dyDescent="0.45">
      <c r="A45" s="38"/>
    </row>
    <row r="46" spans="1:1" ht="16.5" x14ac:dyDescent="0.45">
      <c r="A46" s="39" t="s">
        <v>96</v>
      </c>
    </row>
    <row r="47" spans="1:1" x14ac:dyDescent="0.45">
      <c r="A47" s="38"/>
    </row>
    <row r="48" spans="1:1" ht="16.5" x14ac:dyDescent="0.45">
      <c r="A48" s="39" t="s">
        <v>97</v>
      </c>
    </row>
    <row r="49" spans="1:1" x14ac:dyDescent="0.45">
      <c r="A49" s="38"/>
    </row>
    <row r="50" spans="1:1" ht="16.5" x14ac:dyDescent="0.45">
      <c r="A50" s="39" t="s">
        <v>98</v>
      </c>
    </row>
    <row r="51" spans="1:1" x14ac:dyDescent="0.45">
      <c r="A51" s="38"/>
    </row>
    <row r="52" spans="1:1" ht="16.5" x14ac:dyDescent="0.45">
      <c r="A52" s="39" t="s">
        <v>99</v>
      </c>
    </row>
    <row r="53" spans="1:1" x14ac:dyDescent="0.45">
      <c r="A53" s="38"/>
    </row>
    <row r="54" spans="1:1" ht="16.5" x14ac:dyDescent="0.45">
      <c r="A54" s="39" t="s">
        <v>100</v>
      </c>
    </row>
    <row r="55" spans="1:1" x14ac:dyDescent="0.45">
      <c r="A55" s="38"/>
    </row>
    <row r="56" spans="1:1" x14ac:dyDescent="0.45">
      <c r="A56" s="38"/>
    </row>
    <row r="57" spans="1:1" x14ac:dyDescent="0.45">
      <c r="A57" s="41"/>
    </row>
    <row r="58" spans="1:1" ht="16.5" x14ac:dyDescent="0.45">
      <c r="A58" s="42" t="s">
        <v>101</v>
      </c>
    </row>
    <row r="59" spans="1:1" x14ac:dyDescent="0.45">
      <c r="A59" s="41"/>
    </row>
    <row r="60" spans="1:1" ht="16.5" x14ac:dyDescent="0.45">
      <c r="A60" s="42" t="s">
        <v>102</v>
      </c>
    </row>
    <row r="61" spans="1:1" x14ac:dyDescent="0.45">
      <c r="A61" s="41"/>
    </row>
    <row r="62" spans="1:1" ht="16.5" x14ac:dyDescent="0.45">
      <c r="A62" s="42" t="s">
        <v>103</v>
      </c>
    </row>
    <row r="63" spans="1:1" x14ac:dyDescent="0.45">
      <c r="A63" s="41"/>
    </row>
    <row r="64" spans="1:1" ht="16.5" x14ac:dyDescent="0.45">
      <c r="A64" s="42" t="s">
        <v>104</v>
      </c>
    </row>
    <row r="65" spans="1:1" x14ac:dyDescent="0.45">
      <c r="A65" s="41"/>
    </row>
    <row r="66" spans="1:1" ht="16.5" x14ac:dyDescent="0.45">
      <c r="A66" s="42" t="s">
        <v>105</v>
      </c>
    </row>
    <row r="67" spans="1:1" x14ac:dyDescent="0.45">
      <c r="A67" s="41"/>
    </row>
    <row r="68" spans="1:1" ht="16.5" x14ac:dyDescent="0.45">
      <c r="A68" s="42" t="s">
        <v>106</v>
      </c>
    </row>
    <row r="69" spans="1:1" x14ac:dyDescent="0.45">
      <c r="A69" s="41"/>
    </row>
    <row r="70" spans="1:1" ht="16.5" x14ac:dyDescent="0.45">
      <c r="A70" s="42" t="s">
        <v>107</v>
      </c>
    </row>
    <row r="71" spans="1:1" x14ac:dyDescent="0.45">
      <c r="A71" s="41"/>
    </row>
    <row r="72" spans="1:1" ht="16.5" x14ac:dyDescent="0.45">
      <c r="A72" s="42" t="s">
        <v>108</v>
      </c>
    </row>
    <row r="73" spans="1:1" x14ac:dyDescent="0.45">
      <c r="A73" s="41"/>
    </row>
    <row r="74" spans="1:1" ht="16.5" x14ac:dyDescent="0.45">
      <c r="A74" s="42" t="s">
        <v>109</v>
      </c>
    </row>
    <row r="75" spans="1:1" x14ac:dyDescent="0.45">
      <c r="A75" s="41"/>
    </row>
    <row r="76" spans="1:1" ht="16.5" x14ac:dyDescent="0.45">
      <c r="A76" s="42" t="s">
        <v>110</v>
      </c>
    </row>
  </sheetData>
  <hyperlinks>
    <hyperlink ref="A38" r:id="rId1" display="https://docs.microsoft.com/windows-hardware/manufacture/desktop/language-packs-and-windows-deployment" xr:uid="{706AB0D6-4E7B-46EF-A2A9-7902F8BF810F}"/>
    <hyperlink ref="A40" r:id="rId2" display="https://docs.microsoft.com/windows-hardware/manufacture/desktop/features-on-demand-v2--capabilities" xr:uid="{E5193F2A-2EAB-4BC7-A8F8-C9465E1768C0}"/>
    <hyperlink ref="A42" r:id="rId3" display="https://docs.microsoft.com/windows-hardware/manufacture/desktop/features-on-demand-language-fod" xr:uid="{374849D7-5267-4CE4-B84F-0E9C6AA57F95}"/>
    <hyperlink ref="A2" r:id="rId4" xr:uid="{455F9AF3-38D0-466A-8C90-8BA2123A89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దిశ</vt:lpstr>
      <vt:lpstr>తెలుగులో టైపు చేయు విధానము</vt:lpstr>
      <vt:lpstr>దిశ!Print_Area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Datta Modumudi</dc:creator>
  <cp:lastModifiedBy>anantharaman nanduri</cp:lastModifiedBy>
  <cp:lastPrinted>2025-03-25T09:41:01Z</cp:lastPrinted>
  <dcterms:created xsi:type="dcterms:W3CDTF">2024-11-25T20:38:28Z</dcterms:created>
  <dcterms:modified xsi:type="dcterms:W3CDTF">2025-10-05T15:40:38Z</dcterms:modified>
</cp:coreProperties>
</file>